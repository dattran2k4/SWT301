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anquocdat/Downloads/SWT301/LAB3/"/>
    </mc:Choice>
  </mc:AlternateContent>
  <xr:revisionPtr revIDLastSave="0" documentId="13_ncr:1_{434EA1E6-F9CB-574D-B597-92ED0CF3ACB5}" xr6:coauthVersionLast="47" xr6:coauthVersionMax="47" xr10:uidLastSave="{00000000-0000-0000-0000-000000000000}"/>
  <bookViews>
    <workbookView xWindow="0" yWindow="500" windowWidth="28800" windowHeight="16340" activeTab="4" xr2:uid="{00000000-000D-0000-FFFF-FFFF00000000}"/>
  </bookViews>
  <sheets>
    <sheet name="Guideline" sheetId="1" r:id="rId1"/>
    <sheet name="Cover" sheetId="4" r:id="rId2"/>
    <sheet name="Functions" sheetId="5" r:id="rId3"/>
    <sheet name="Statistics" sheetId="6" r:id="rId4"/>
    <sheet name="Function 1" sheetId="7" r:id="rId5"/>
    <sheet name="Function 2" sheetId="10" r:id="rId6"/>
    <sheet name="Function3" sheetId="11" r:id="rId7"/>
    <sheet name="Example" sheetId="12" r:id="rId8"/>
  </sheets>
  <definedNames>
    <definedName name="ACTION">#REF!</definedName>
    <definedName name="_xlnm.Print_Area" localSheetId="4">'Function 1'!$A$1:$T$78</definedName>
    <definedName name="_xlnm.Print_Area" localSheetId="5">'Function 2'!$A$1:$T$52</definedName>
    <definedName name="_xlnm.Print_Area" localSheetId="6">Function3!$A$1:$T$53</definedName>
    <definedName name="_xlnm.Print_Area" localSheetId="2">Functions!$A$1:$H$39</definedName>
    <definedName name="_xlnm.Print_Area" localSheetId="0">Guideline!$A$1:$A$48</definedName>
    <definedName name="_xlnm.Print_Area" localSheetId="3">Statistics!$A$1:$I$41</definedName>
    <definedName name="Z_2C0D9096_8D85_462A_A9B5_0B488ADB4269_.wvu.Cols" localSheetId="4" hidden="1">'Function 1'!$E:$E</definedName>
    <definedName name="Z_2C0D9096_8D85_462A_A9B5_0B488ADB4269_.wvu.Cols" localSheetId="5" hidden="1">'Function 2'!$E:$E</definedName>
    <definedName name="Z_2C0D9096_8D85_462A_A9B5_0B488ADB4269_.wvu.Cols" localSheetId="6" hidden="1">Function3!$E:$E</definedName>
    <definedName name="Z_2C0D9096_8D85_462A_A9B5_0B488ADB4269_.wvu.PrintArea" localSheetId="3" hidden="1">Statistics!$A:$I</definedName>
    <definedName name="Z_6F1DCD5D_5DAC_4817_BF40_2B66F6F593E6_.wvu.Cols" localSheetId="4" hidden="1">'Function 1'!$E:$E</definedName>
    <definedName name="Z_6F1DCD5D_5DAC_4817_BF40_2B66F6F593E6_.wvu.Cols" localSheetId="5" hidden="1">'Function 2'!$E:$E</definedName>
    <definedName name="Z_6F1DCD5D_5DAC_4817_BF40_2B66F6F593E6_.wvu.Cols" localSheetId="6" hidden="1">Function3!$E:$E</definedName>
    <definedName name="Z_6F1DCD5D_5DAC_4817_BF40_2B66F6F593E6_.wvu.PrintArea" localSheetId="3" hidden="1">Statistics!$A:$I</definedName>
    <definedName name="Z_BE54E0AD_3725_4423_92D7_4F1C045BE1BC_.wvu.Cols" localSheetId="4" hidden="1">'Function 1'!$E:$E</definedName>
    <definedName name="Z_BE54E0AD_3725_4423_92D7_4F1C045BE1BC_.wvu.Cols" localSheetId="5" hidden="1">'Function 2'!$E:$E</definedName>
    <definedName name="Z_BE54E0AD_3725_4423_92D7_4F1C045BE1BC_.wvu.Cols" localSheetId="6" hidden="1">Function3!$E:$E</definedName>
    <definedName name="Z_BE54E0AD_3725_4423_92D7_4F1C045BE1BC_.wvu.PrintArea" localSheetId="3" hidden="1">Statistics!$A:$I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1" l="1"/>
  <c r="H14" i="6" s="1"/>
  <c r="M7" i="11"/>
  <c r="L7" i="11"/>
  <c r="F14" i="6"/>
  <c r="N7" i="10"/>
  <c r="M7" i="10"/>
  <c r="G13" i="6" s="1"/>
  <c r="L7" i="10"/>
  <c r="N7" i="7"/>
  <c r="H12" i="6" s="1"/>
  <c r="M7" i="7"/>
  <c r="G12" i="6" s="1"/>
  <c r="L7" i="7"/>
  <c r="F12" i="6" s="1"/>
  <c r="C7" i="11"/>
  <c r="A7" i="11"/>
  <c r="C7" i="10"/>
  <c r="A7" i="10"/>
  <c r="C7" i="7"/>
  <c r="D12" i="6" s="1"/>
  <c r="A7" i="7"/>
  <c r="C12" i="6" s="1"/>
  <c r="L2" i="11"/>
  <c r="C2" i="11"/>
  <c r="L2" i="10"/>
  <c r="C2" i="10"/>
  <c r="C2" i="7"/>
  <c r="O7" i="12"/>
  <c r="L4" i="12" s="1"/>
  <c r="N7" i="12"/>
  <c r="M7" i="12"/>
  <c r="L7" i="12"/>
  <c r="A7" i="12"/>
  <c r="C7" i="12"/>
  <c r="F7" i="12" s="1"/>
  <c r="L2" i="12"/>
  <c r="C2" i="12"/>
  <c r="O7" i="11"/>
  <c r="I14" i="6" s="1"/>
  <c r="G14" i="6"/>
  <c r="D14" i="6"/>
  <c r="H13" i="6"/>
  <c r="O7" i="7"/>
  <c r="I12" i="6" s="1"/>
  <c r="O7" i="10"/>
  <c r="I13" i="6" s="1"/>
  <c r="F13" i="6"/>
  <c r="D13" i="6"/>
  <c r="L4" i="10"/>
  <c r="B6" i="4"/>
  <c r="E4" i="5"/>
  <c r="E5" i="5"/>
  <c r="B4" i="6"/>
  <c r="B5" i="6"/>
  <c r="B6" i="6"/>
  <c r="L2" i="7"/>
  <c r="F7" i="11" l="1"/>
  <c r="E14" i="6" s="1"/>
  <c r="D17" i="6"/>
  <c r="F17" i="6"/>
  <c r="F7" i="10"/>
  <c r="E13" i="6" s="1"/>
  <c r="L4" i="11"/>
  <c r="G17" i="6"/>
  <c r="L4" i="7"/>
  <c r="H17" i="6"/>
  <c r="I17" i="6"/>
  <c r="C13" i="6"/>
  <c r="C14" i="6"/>
  <c r="C17" i="6" s="1"/>
  <c r="F7" i="7"/>
  <c r="E12" i="6" s="1"/>
  <c r="E17" i="6" s="1"/>
  <c r="D21" i="6" l="1"/>
  <c r="D19" i="6"/>
  <c r="D20" i="6"/>
  <c r="D22" i="6"/>
  <c r="D2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00000000-0006-0000-0400-000002000000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00000000-0006-0000-0500-000002000000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00000000-0006-0000-0600-000002000000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00000000-0006-0000-0700-000002000000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<sst xmlns="http://schemas.openxmlformats.org/spreadsheetml/2006/main" count="587" uniqueCount="216">
  <si>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</si>
  <si>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</si>
  <si>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</si>
  <si>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</si>
  <si>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</si>
  <si>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</si>
  <si>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</si>
  <si>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</si>
  <si>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&lt;Date when this test report is created&gt;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</si>
  <si>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</si>
  <si>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</si>
  <si>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</si>
  <si>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</si>
  <si>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</si>
  <si>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</si>
  <si>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</si>
  <si>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</si>
  <si>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</si>
  <si>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Test Environment Setup Description</t>
  </si>
  <si>
    <t>&lt;List enviroment requires in this system
1. Server
2. Database
3. Web Browser
...
&gt;</t>
  </si>
  <si>
    <t>No</t>
  </si>
  <si>
    <t>Requirement
Name</t>
  </si>
  <si>
    <t>Class Name</t>
  </si>
  <si>
    <t>Function Name</t>
  </si>
  <si>
    <t>Sheet Name</t>
  </si>
  <si>
    <t>Description</t>
  </si>
  <si>
    <t>Pre-Condition</t>
  </si>
  <si>
    <t>Class1</t>
  </si>
  <si>
    <t>Function A</t>
  </si>
  <si>
    <t>Function B</t>
  </si>
  <si>
    <t>Function2</t>
  </si>
  <si>
    <t>UNIT TEST REPORT</t>
  </si>
  <si>
    <t>Notes</t>
  </si>
  <si>
    <t>&lt;List modules included in this release&gt; ex: Release 1 includes 2 modules: Module1 and Module2</t>
  </si>
  <si>
    <t>Passed</t>
  </si>
  <si>
    <t>Failed</t>
  </si>
  <si>
    <t>Untested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</si>
  <si>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</si>
  <si>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</si>
  <si>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</si>
  <si>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</si>
  <si>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</si>
  <si>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</si>
  <si>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</si>
  <si>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</si>
  <si>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&lt;Developer Name&gt;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</si>
  <si>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</si>
  <si>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</si>
  <si>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</si>
  <si>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</si>
  <si>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</si>
  <si>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</si>
  <si>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</si>
  <si>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</si>
  <si>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</si>
  <si>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</si>
  <si>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</si>
  <si>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</si>
  <si>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</si>
  <si>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</si>
  <si>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</si>
  <si>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Can connect with server</t>
  </si>
  <si>
    <t>"1"</t>
  </si>
  <si>
    <t>""</t>
  </si>
  <si>
    <t>null</t>
  </si>
  <si>
    <t>&gt;=5 &amp; &lt;= 10</t>
  </si>
  <si>
    <t>"success"</t>
  </si>
  <si>
    <t>"input1 is null"</t>
  </si>
  <si>
    <t>Result</t>
  </si>
  <si>
    <t>Type(N : Normal, A : Abnormal, B : Boundary)</t>
  </si>
  <si>
    <t>N</t>
  </si>
  <si>
    <t>B</t>
  </si>
  <si>
    <t>A</t>
  </si>
  <si>
    <t>Passed/Failed</t>
  </si>
  <si>
    <t>P</t>
  </si>
  <si>
    <t>F</t>
  </si>
  <si>
    <t>Executed Date</t>
  </si>
  <si>
    <t>Defect ID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</si>
  <si>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</si>
  <si>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</si>
  <si>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</si>
  <si>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</si>
  <si>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</si>
  <si>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</si>
  <si>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</si>
  <si>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</si>
  <si>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</si>
  <si>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</si>
  <si>
    <t xml:space="preserve">Precondition </t>
    <phoneticPr fontId="34" type="noConversion"/>
  </si>
  <si>
    <t>Return</t>
    <phoneticPr fontId="34" type="noConversion"/>
  </si>
  <si>
    <t>Exception</t>
    <phoneticPr fontId="34" type="noConversion"/>
  </si>
  <si>
    <t>Log message</t>
    <phoneticPr fontId="34" type="noConversion"/>
  </si>
  <si>
    <t xml:space="preserve"> </t>
  </si>
  <si>
    <t xml:space="preserve">        - For examples:</t>
  </si>
  <si>
    <t xml:space="preserve">        - Confirmation can include:</t>
  </si>
  <si>
    <t xml:space="preserve">         </t>
  </si>
  <si>
    <t>2.1 Combination of test cases.</t>
  </si>
  <si>
    <t xml:space="preserve">Precondition </t>
    <phoneticPr fontId="34" type="noConversion"/>
  </si>
  <si>
    <t>Input1</t>
    <phoneticPr fontId="34" type="noConversion"/>
  </si>
  <si>
    <t>Input2</t>
    <phoneticPr fontId="34" type="noConversion"/>
  </si>
  <si>
    <t>Return</t>
    <phoneticPr fontId="34" type="noConversion"/>
  </si>
  <si>
    <t>Exception</t>
    <phoneticPr fontId="34" type="noConversion"/>
  </si>
  <si>
    <t>Log message</t>
    <phoneticPr fontId="34" type="noConversion"/>
  </si>
  <si>
    <t>&lt;Brief description about requirements which are tested in this function&gt;</t>
  </si>
  <si>
    <t>Function Code</t>
  </si>
  <si>
    <t>Created By</t>
  </si>
  <si>
    <t>Executed By</t>
  </si>
  <si>
    <t>Lines  of code</t>
  </si>
  <si>
    <t>Lack of test cases</t>
  </si>
  <si>
    <t>Test requirement</t>
  </si>
  <si>
    <t>N/A/B</t>
  </si>
  <si>
    <t>Condition</t>
  </si>
  <si>
    <t xml:space="preserve">Precondition </t>
  </si>
  <si>
    <t>Input1</t>
  </si>
  <si>
    <t>Input2</t>
  </si>
  <si>
    <t>Confirm</t>
  </si>
  <si>
    <t>Return</t>
  </si>
  <si>
    <t>Exception</t>
  </si>
  <si>
    <t>Log message</t>
  </si>
  <si>
    <t>Class2</t>
  </si>
  <si>
    <t>Class3</t>
  </si>
  <si>
    <t>Function C</t>
  </si>
  <si>
    <t>Function3</t>
  </si>
  <si>
    <t xml:space="preserve"> - In the template, Unit test cases are based on functions. Each sheet presents test cases for one function.</t>
  </si>
  <si>
    <t>2. Content in Test function sheet</t>
  </si>
  <si>
    <t>Guideline to make and understand Unit Test Case</t>
  </si>
  <si>
    <t xml:space="preserve">Normal number of Test cases/KLOC </t>
  </si>
  <si>
    <t xml:space="preserve"> 2.2 Condition and confirmation of Test cases.</t>
  </si>
  <si>
    <t xml:space="preserve"> Each test case is the combination of condition and confirmation.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</si>
  <si>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</si>
  <si>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</si>
  <si>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</si>
  <si>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</si>
  <si>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Abnormal values are non-expected values. And normally it processes exception cases.  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</si>
  <si>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</si>
  <si>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</si>
  <si>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</si>
  <si>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</si>
  <si>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 xml:space="preserve">        - Type of test case: It includes normal, boundary and abnormal test cases. User selects the type based on the type of input data.</t>
  </si>
  <si>
    <t xml:space="preserve"> 2.3. Other items:</t>
  </si>
  <si>
    <t>a</t>
    <phoneticPr fontId="34" type="noConversion"/>
  </si>
  <si>
    <t>b</t>
    <phoneticPr fontId="34" type="noConversion"/>
  </si>
  <si>
    <t>c</t>
    <phoneticPr fontId="44"/>
  </si>
  <si>
    <t xml:space="preserve">list </t>
    <phoneticPr fontId="44"/>
  </si>
  <si>
    <t>null</t>
    <phoneticPr fontId="44"/>
  </si>
  <si>
    <t>size = 0</t>
    <phoneticPr fontId="44"/>
  </si>
  <si>
    <t>O</t>
  </si>
  <si>
    <t>"please input a&gt;= -1"</t>
    <phoneticPr fontId="44"/>
  </si>
  <si>
    <t>{-1/2}</t>
    <phoneticPr fontId="44"/>
  </si>
  <si>
    <t>{1,1}</t>
    <phoneticPr fontId="44"/>
  </si>
  <si>
    <t>{1,-3}</t>
    <phoneticPr fontId="44"/>
  </si>
  <si>
    <t xml:space="preserve"> Function Code(Optional)</t>
  </si>
  <si>
    <t>Function1</t>
  </si>
  <si>
    <t>1. Overview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</si>
  <si>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</si>
  <si>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</si>
  <si>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</si>
  <si>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</si>
  <si>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r>
      <t xml:space="preserve"> - </t>
    </r>
    <r>
      <rPr>
        <b/>
        <sz val="10"/>
        <rFont val="Tahoma"/>
        <family val="2"/>
      </rPr>
      <t>Cover</t>
    </r>
    <r>
      <rPr>
        <sz val="10"/>
        <rFont val="Tahoma"/>
        <family val="2"/>
      </rPr>
      <t>: General information of the project and Unit Test cases</t>
    </r>
  </si>
  <si>
    <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</si>
  <si>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</si>
  <si>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</si>
  <si>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</si>
  <si>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</si>
  <si>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>a. Condition:</t>
  </si>
  <si>
    <t xml:space="preserve">b. Confirmation: </t>
  </si>
  <si>
    <t>c. Type of test cases and result: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</si>
  <si>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</si>
  <si>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</si>
  <si>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</si>
  <si>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</si>
  <si>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</si>
  <si>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</si>
  <si>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</si>
  <si>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t xml:space="preserve">     Note:  Should check the formula of "Sub Total" if you add more functions</t>
  </si>
  <si>
    <t>Function code</t>
  </si>
  <si>
    <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</si>
  <si>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t xml:space="preserve">                . Boundary values are limited values that contain upper and lower values.</t>
  </si>
  <si>
    <t>T</t>
  </si>
  <si>
    <t>Function List</t>
  </si>
  <si>
    <t>UNIT TEST DOCUMENT</t>
  </si>
  <si>
    <t>username</t>
  </si>
  <si>
    <t>password</t>
  </si>
  <si>
    <t>email</t>
  </si>
  <si>
    <t>john123</t>
  </si>
  <si>
    <t>alice</t>
  </si>
  <si>
    <t>carol</t>
  </si>
  <si>
    <t>pass123</t>
  </si>
  <si>
    <t>john@example.com</t>
  </si>
  <si>
    <t>alice@mail.com</t>
  </si>
  <si>
    <t>carol@domain.com</t>
  </si>
  <si>
    <t>short</t>
  </si>
  <si>
    <t>password is less than 6</t>
  </si>
  <si>
    <t>password is null</t>
  </si>
  <si>
    <t>password is blank</t>
  </si>
  <si>
    <t>email is blank</t>
  </si>
  <si>
    <t>username is blank</t>
  </si>
  <si>
    <t>username is null</t>
  </si>
  <si>
    <t>email is invalid</t>
  </si>
  <si>
    <t>email is null</t>
  </si>
  <si>
    <t>dattqde181019</t>
  </si>
  <si>
    <t>bop123</t>
  </si>
  <si>
    <t>"   "</t>
  </si>
  <si>
    <t>newUser</t>
  </si>
  <si>
    <t>alice123</t>
  </si>
  <si>
    <t>bop@home</t>
  </si>
  <si>
    <t>user2</t>
  </si>
  <si>
    <t>"pass word"</t>
  </si>
  <si>
    <t>password2</t>
  </si>
  <si>
    <t>password1</t>
  </si>
  <si>
    <t>bopmail.com</t>
  </si>
  <si>
    <t>test@mail.com</t>
  </si>
  <si>
    <t>invalidEmail</t>
  </si>
  <si>
    <t>user2@mail..com</t>
  </si>
  <si>
    <t>bop@home.com</t>
  </si>
  <si>
    <t>username duplicated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</si>
</sst>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5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sz val="10"/>
      <color indexed="9"/>
      <name val="Tahoma"/>
      <family val="2"/>
    </font>
    <font>
      <sz val="10"/>
      <color indexed="8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12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u/>
      <sz val="11"/>
      <color indexed="12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0.5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11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sz val="10"/>
      <color rgb="FF080808"/>
      <name val="JetBrains Mono"/>
      <family val="3"/>
    </font>
    <font>
      <sz val="10"/>
      <color rgb="FF000000"/>
      <name val="JetBrains Mono"/>
      <family val="3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</fills>
  <borders count="10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</cellStyleXfs>
  <cellXfs count="436">
    <xf numFmtId="0" fontId="0" fillId="0" borderId="0" xfId="0">
      <alignment vertical="center"/>
    </xf>
    <xf numFmtId="0" fontId="22" fillId="0" borderId="10" xfId="41" applyFont="1" applyBorder="1" applyAlignment="1">
      <alignment horizontal="center" vertical="center"/>
    </xf>
    <xf numFmtId="0" fontId="24" fillId="0" borderId="0" xfId="41" applyFont="1" applyAlignment="1">
      <alignment horizontal="center" vertical="center"/>
    </xf>
    <xf numFmtId="0" fontId="24" fillId="0" borderId="0" xfId="41" applyFont="1"/>
    <xf numFmtId="0" fontId="25" fillId="24" borderId="0" xfId="41" applyFont="1" applyFill="1" applyAlignment="1">
      <alignment horizontal="left" indent="1"/>
    </xf>
    <xf numFmtId="0" fontId="26" fillId="0" borderId="0" xfId="41" applyFont="1" applyAlignment="1">
      <alignment horizontal="left" indent="1"/>
    </xf>
    <xf numFmtId="0" fontId="24" fillId="24" borderId="0" xfId="41" applyFont="1" applyFill="1"/>
    <xf numFmtId="0" fontId="24" fillId="0" borderId="11" xfId="41" applyFont="1" applyBorder="1"/>
    <xf numFmtId="0" fontId="26" fillId="0" borderId="0" xfId="41" applyFont="1" applyAlignment="1">
      <alignment horizontal="left"/>
    </xf>
    <xf numFmtId="0" fontId="25" fillId="0" borderId="0" xfId="41" applyFont="1" applyAlignment="1">
      <alignment horizontal="left" indent="1"/>
    </xf>
    <xf numFmtId="0" fontId="24" fillId="0" borderId="0" xfId="41" applyFont="1" applyAlignment="1">
      <alignment vertical="center"/>
    </xf>
    <xf numFmtId="164" fontId="27" fillId="25" borderId="12" xfId="41" applyNumberFormat="1" applyFont="1" applyFill="1" applyBorder="1" applyAlignment="1">
      <alignment horizontal="center" vertical="center"/>
    </xf>
    <xf numFmtId="0" fontId="27" fillId="25" borderId="13" xfId="41" applyFont="1" applyFill="1" applyBorder="1" applyAlignment="1">
      <alignment horizontal="center" vertical="center"/>
    </xf>
    <xf numFmtId="0" fontId="27" fillId="25" borderId="14" xfId="41" applyFont="1" applyFill="1" applyBorder="1" applyAlignment="1">
      <alignment horizontal="center" vertical="center"/>
    </xf>
    <xf numFmtId="0" fontId="24" fillId="0" borderId="0" xfId="41" applyFont="1" applyAlignment="1">
      <alignment vertical="top"/>
    </xf>
    <xf numFmtId="49" fontId="24" fillId="0" borderId="15" xfId="41" applyNumberFormat="1" applyFont="1" applyBorder="1" applyAlignment="1">
      <alignment vertical="top"/>
    </xf>
    <xf numFmtId="0" fontId="24" fillId="0" borderId="15" xfId="41" applyFont="1" applyBorder="1" applyAlignment="1">
      <alignment vertical="top"/>
    </xf>
    <xf numFmtId="15" fontId="24" fillId="0" borderId="15" xfId="41" applyNumberFormat="1" applyFont="1" applyBorder="1" applyAlignment="1">
      <alignment vertical="top"/>
    </xf>
    <xf numFmtId="164" fontId="24" fillId="0" borderId="16" xfId="41" applyNumberFormat="1" applyFont="1" applyBorder="1" applyAlignment="1">
      <alignment vertical="top"/>
    </xf>
    <xf numFmtId="0" fontId="24" fillId="0" borderId="17" xfId="41" applyFont="1" applyBorder="1" applyAlignment="1">
      <alignment vertical="top"/>
    </xf>
    <xf numFmtId="164" fontId="24" fillId="0" borderId="18" xfId="41" applyNumberFormat="1" applyFont="1" applyBorder="1" applyAlignment="1">
      <alignment vertical="top"/>
    </xf>
    <xf numFmtId="49" fontId="24" fillId="0" borderId="19" xfId="41" applyNumberFormat="1" applyFont="1" applyBorder="1" applyAlignment="1">
      <alignment vertical="top"/>
    </xf>
    <xf numFmtId="0" fontId="24" fillId="0" borderId="19" xfId="41" applyFont="1" applyBorder="1" applyAlignment="1">
      <alignment vertical="top"/>
    </xf>
    <xf numFmtId="0" fontId="24" fillId="0" borderId="20" xfId="41" applyFont="1" applyBorder="1" applyAlignment="1">
      <alignment vertical="top"/>
    </xf>
    <xf numFmtId="0" fontId="24" fillId="0" borderId="0" xfId="41" applyFont="1" applyAlignment="1">
      <alignment horizontal="left" indent="1"/>
    </xf>
    <xf numFmtId="1" fontId="24" fillId="24" borderId="0" xfId="41" applyNumberFormat="1" applyFont="1" applyFill="1" applyProtection="1">
      <protection hidden="1"/>
    </xf>
    <xf numFmtId="0" fontId="24" fillId="24" borderId="0" xfId="41" applyFont="1" applyFill="1" applyAlignment="1">
      <alignment horizontal="left"/>
    </xf>
    <xf numFmtId="0" fontId="24" fillId="24" borderId="0" xfId="41" applyFont="1" applyFill="1" applyAlignment="1">
      <alignment horizontal="left" wrapText="1"/>
    </xf>
    <xf numFmtId="0" fontId="23" fillId="24" borderId="0" xfId="41" applyFont="1" applyFill="1" applyAlignment="1">
      <alignment horizontal="left"/>
    </xf>
    <xf numFmtId="0" fontId="28" fillId="24" borderId="0" xfId="41" applyFont="1" applyFill="1" applyAlignment="1">
      <alignment horizontal="left"/>
    </xf>
    <xf numFmtId="0" fontId="29" fillId="24" borderId="0" xfId="41" applyFont="1" applyFill="1" applyAlignment="1">
      <alignment horizontal="left"/>
    </xf>
    <xf numFmtId="0" fontId="24" fillId="24" borderId="0" xfId="41" applyFont="1" applyFill="1" applyAlignment="1">
      <alignment wrapText="1"/>
    </xf>
    <xf numFmtId="1" fontId="25" fillId="24" borderId="0" xfId="41" applyNumberFormat="1" applyFont="1" applyFill="1"/>
    <xf numFmtId="1" fontId="24" fillId="24" borderId="0" xfId="41" applyNumberFormat="1" applyFont="1" applyFill="1" applyAlignment="1" applyProtection="1">
      <alignment vertical="center"/>
      <protection hidden="1"/>
    </xf>
    <xf numFmtId="0" fontId="24" fillId="24" borderId="0" xfId="41" applyFont="1" applyFill="1" applyAlignment="1">
      <alignment horizontal="left" vertical="center"/>
    </xf>
    <xf numFmtId="0" fontId="24" fillId="24" borderId="0" xfId="41" applyFont="1" applyFill="1" applyAlignment="1">
      <alignment horizontal="left" vertical="center" wrapText="1"/>
    </xf>
    <xf numFmtId="0" fontId="24" fillId="24" borderId="0" xfId="41" applyFont="1" applyFill="1" applyAlignment="1">
      <alignment vertical="center"/>
    </xf>
    <xf numFmtId="1" fontId="27" fillId="26" borderId="12" xfId="41" applyNumberFormat="1" applyFont="1" applyFill="1" applyBorder="1" applyAlignment="1">
      <alignment horizontal="center" vertical="center"/>
    </xf>
    <xf numFmtId="1" fontId="27" fillId="26" borderId="21" xfId="41" applyNumberFormat="1" applyFont="1" applyFill="1" applyBorder="1" applyAlignment="1">
      <alignment horizontal="center" vertical="center" wrapText="1"/>
    </xf>
    <xf numFmtId="1" fontId="27" fillId="26" borderId="21" xfId="41" applyNumberFormat="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 wrapText="1"/>
    </xf>
    <xf numFmtId="0" fontId="27" fillId="26" borderId="22" xfId="41" applyFont="1" applyFill="1" applyBorder="1" applyAlignment="1">
      <alignment horizontal="center" vertical="center"/>
    </xf>
    <xf numFmtId="0" fontId="27" fillId="26" borderId="14" xfId="41" applyFont="1" applyFill="1" applyBorder="1" applyAlignment="1">
      <alignment horizontal="center" vertical="center"/>
    </xf>
    <xf numFmtId="0" fontId="30" fillId="24" borderId="0" xfId="41" applyFont="1" applyFill="1" applyAlignment="1">
      <alignment horizontal="center"/>
    </xf>
    <xf numFmtId="1" fontId="24" fillId="24" borderId="23" xfId="41" applyNumberFormat="1" applyFont="1" applyFill="1" applyBorder="1" applyAlignment="1">
      <alignment vertical="center"/>
    </xf>
    <xf numFmtId="49" fontId="24" fillId="24" borderId="15" xfId="41" applyNumberFormat="1" applyFont="1" applyFill="1" applyBorder="1" applyAlignment="1">
      <alignment horizontal="left" vertical="center"/>
    </xf>
    <xf numFmtId="49" fontId="24" fillId="24" borderId="15" xfId="41" applyNumberFormat="1" applyFont="1" applyFill="1" applyBorder="1" applyAlignment="1">
      <alignment horizontal="left" vertical="center" wrapText="1"/>
    </xf>
    <xf numFmtId="0" fontId="31" fillId="24" borderId="15" xfId="34" applyNumberFormat="1" applyFont="1" applyFill="1" applyBorder="1" applyAlignment="1" applyProtection="1">
      <alignment horizontal="left" vertical="center"/>
    </xf>
    <xf numFmtId="0" fontId="24" fillId="24" borderId="17" xfId="41" applyFont="1" applyFill="1" applyBorder="1" applyAlignment="1">
      <alignment horizontal="left" vertical="center"/>
    </xf>
    <xf numFmtId="0" fontId="24" fillId="24" borderId="15" xfId="41" applyFont="1" applyFill="1" applyBorder="1" applyAlignment="1">
      <alignment horizontal="left" vertical="center"/>
    </xf>
    <xf numFmtId="1" fontId="24" fillId="24" borderId="24" xfId="41" applyNumberFormat="1" applyFont="1" applyFill="1" applyBorder="1" applyAlignment="1">
      <alignment vertical="center"/>
    </xf>
    <xf numFmtId="49" fontId="24" fillId="24" borderId="19" xfId="41" applyNumberFormat="1" applyFont="1" applyFill="1" applyBorder="1" applyAlignment="1">
      <alignment horizontal="left" vertical="center"/>
    </xf>
    <xf numFmtId="49" fontId="24" fillId="24" borderId="19" xfId="41" applyNumberFormat="1" applyFont="1" applyFill="1" applyBorder="1" applyAlignment="1">
      <alignment horizontal="left" vertical="center" wrapText="1"/>
    </xf>
    <xf numFmtId="0" fontId="24" fillId="24" borderId="19" xfId="41" applyFont="1" applyFill="1" applyBorder="1" applyAlignment="1">
      <alignment horizontal="left" vertical="center"/>
    </xf>
    <xf numFmtId="0" fontId="24" fillId="24" borderId="20" xfId="41" applyFont="1" applyFill="1" applyBorder="1" applyAlignment="1">
      <alignment horizontal="left" vertical="center"/>
    </xf>
    <xf numFmtId="1" fontId="24" fillId="24" borderId="0" xfId="41" applyNumberFormat="1" applyFont="1" applyFill="1"/>
    <xf numFmtId="0" fontId="30" fillId="24" borderId="0" xfId="38" applyFont="1" applyFill="1"/>
    <xf numFmtId="0" fontId="24" fillId="24" borderId="0" xfId="38" applyFont="1" applyFill="1"/>
    <xf numFmtId="164" fontId="24" fillId="24" borderId="0" xfId="38" applyNumberFormat="1" applyFont="1" applyFill="1"/>
    <xf numFmtId="0" fontId="25" fillId="24" borderId="0" xfId="41" applyFont="1" applyFill="1"/>
    <xf numFmtId="0" fontId="26" fillId="24" borderId="0" xfId="38" applyFont="1" applyFill="1"/>
    <xf numFmtId="0" fontId="27" fillId="25" borderId="21" xfId="41" applyFont="1" applyFill="1" applyBorder="1" applyAlignment="1">
      <alignment horizontal="center"/>
    </xf>
    <xf numFmtId="0" fontId="27" fillId="25" borderId="13" xfId="41" applyFont="1" applyFill="1" applyBorder="1" applyAlignment="1">
      <alignment horizontal="center"/>
    </xf>
    <xf numFmtId="0" fontId="27" fillId="25" borderId="13" xfId="41" applyFont="1" applyFill="1" applyBorder="1" applyAlignment="1">
      <alignment horizontal="center" wrapText="1"/>
    </xf>
    <xf numFmtId="0" fontId="27" fillId="25" borderId="22" xfId="41" applyFont="1" applyFill="1" applyBorder="1" applyAlignment="1">
      <alignment horizontal="center"/>
    </xf>
    <xf numFmtId="0" fontId="27" fillId="25" borderId="25" xfId="41" applyFont="1" applyFill="1" applyBorder="1" applyAlignment="1">
      <alignment horizontal="center" wrapText="1"/>
    </xf>
    <xf numFmtId="0" fontId="24" fillId="24" borderId="23" xfId="41" applyFont="1" applyFill="1" applyBorder="1" applyAlignment="1">
      <alignment horizontal="center"/>
    </xf>
    <xf numFmtId="0" fontId="24" fillId="24" borderId="15" xfId="41" applyFont="1" applyFill="1" applyBorder="1" applyAlignment="1">
      <alignment horizontal="center"/>
    </xf>
    <xf numFmtId="0" fontId="24" fillId="24" borderId="26" xfId="41" applyFont="1" applyFill="1" applyBorder="1" applyAlignment="1">
      <alignment horizontal="center"/>
    </xf>
    <xf numFmtId="0" fontId="32" fillId="25" borderId="24" xfId="41" applyFont="1" applyFill="1" applyBorder="1" applyAlignment="1">
      <alignment horizontal="center"/>
    </xf>
    <xf numFmtId="0" fontId="32" fillId="25" borderId="19" xfId="41" applyFont="1" applyFill="1" applyBorder="1" applyAlignment="1">
      <alignment horizontal="center"/>
    </xf>
    <xf numFmtId="0" fontId="24" fillId="24" borderId="0" xfId="41" applyFont="1" applyFill="1" applyAlignment="1">
      <alignment horizontal="center"/>
    </xf>
    <xf numFmtId="10" fontId="24" fillId="24" borderId="0" xfId="41" applyNumberFormat="1" applyFont="1" applyFill="1" applyAlignment="1">
      <alignment horizontal="center"/>
    </xf>
    <xf numFmtId="9" fontId="24" fillId="24" borderId="0" xfId="41" applyNumberFormat="1" applyFont="1" applyFill="1" applyAlignment="1">
      <alignment horizontal="center"/>
    </xf>
    <xf numFmtId="0" fontId="33" fillId="24" borderId="0" xfId="41" applyFont="1" applyFill="1" applyAlignment="1">
      <alignment horizontal="center" wrapText="1"/>
    </xf>
    <xf numFmtId="0" fontId="35" fillId="0" borderId="27" xfId="41" applyFont="1" applyBorder="1"/>
    <xf numFmtId="0" fontId="36" fillId="0" borderId="27" xfId="41" applyFont="1" applyBorder="1" applyAlignment="1">
      <alignment horizontal="left"/>
    </xf>
    <xf numFmtId="0" fontId="35" fillId="0" borderId="0" xfId="41" applyFont="1"/>
    <xf numFmtId="0" fontId="35" fillId="0" borderId="0" xfId="41" applyFont="1" applyAlignment="1">
      <alignment horizontal="right"/>
    </xf>
    <xf numFmtId="49" fontId="35" fillId="0" borderId="0" xfId="41" applyNumberFormat="1" applyFont="1"/>
    <xf numFmtId="0" fontId="35" fillId="0" borderId="28" xfId="41" applyFont="1" applyBorder="1"/>
    <xf numFmtId="0" fontId="36" fillId="0" borderId="0" xfId="41" applyFont="1" applyAlignment="1">
      <alignment horizontal="left"/>
    </xf>
    <xf numFmtId="0" fontId="36" fillId="0" borderId="0" xfId="41" applyFont="1"/>
    <xf numFmtId="0" fontId="36" fillId="27" borderId="29" xfId="41" applyFont="1" applyFill="1" applyBorder="1" applyAlignment="1">
      <alignment horizontal="left" vertical="top"/>
    </xf>
    <xf numFmtId="0" fontId="35" fillId="27" borderId="30" xfId="41" applyFont="1" applyFill="1" applyBorder="1" applyAlignment="1">
      <alignment horizontal="center" vertical="top"/>
    </xf>
    <xf numFmtId="0" fontId="35" fillId="27" borderId="31" xfId="41" applyFont="1" applyFill="1" applyBorder="1" applyAlignment="1">
      <alignment horizontal="right" vertical="top"/>
    </xf>
    <xf numFmtId="0" fontId="38" fillId="28" borderId="32" xfId="41" applyFont="1" applyFill="1" applyBorder="1" applyAlignment="1">
      <alignment horizontal="right"/>
    </xf>
    <xf numFmtId="0" fontId="39" fillId="0" borderId="33" xfId="41" applyFont="1" applyBorder="1" applyAlignment="1">
      <alignment horizontal="center"/>
    </xf>
    <xf numFmtId="0" fontId="38" fillId="28" borderId="0" xfId="41" applyFont="1" applyFill="1" applyAlignment="1">
      <alignment horizontal="right"/>
    </xf>
    <xf numFmtId="0" fontId="35" fillId="0" borderId="0" xfId="41" applyFont="1" applyAlignment="1">
      <alignment vertical="top"/>
    </xf>
    <xf numFmtId="0" fontId="35" fillId="28" borderId="0" xfId="41" applyFont="1" applyFill="1" applyAlignment="1">
      <alignment horizontal="right"/>
    </xf>
    <xf numFmtId="0" fontId="40" fillId="0" borderId="0" xfId="41" applyFont="1" applyAlignment="1">
      <alignment horizontal="center"/>
    </xf>
    <xf numFmtId="0" fontId="36" fillId="27" borderId="34" xfId="41" applyFont="1" applyFill="1" applyBorder="1" applyAlignment="1">
      <alignment horizontal="left" vertical="top"/>
    </xf>
    <xf numFmtId="0" fontId="35" fillId="27" borderId="35" xfId="41" applyFont="1" applyFill="1" applyBorder="1" applyAlignment="1">
      <alignment horizontal="center" vertical="top"/>
    </xf>
    <xf numFmtId="0" fontId="35" fillId="27" borderId="36" xfId="41" applyFont="1" applyFill="1" applyBorder="1" applyAlignment="1">
      <alignment horizontal="right" vertical="top"/>
    </xf>
    <xf numFmtId="0" fontId="35" fillId="28" borderId="37" xfId="41" applyFont="1" applyFill="1" applyBorder="1" applyAlignment="1">
      <alignment horizontal="right"/>
    </xf>
    <xf numFmtId="0" fontId="39" fillId="0" borderId="38" xfId="41" applyFont="1" applyBorder="1" applyAlignment="1">
      <alignment horizontal="center"/>
    </xf>
    <xf numFmtId="0" fontId="36" fillId="27" borderId="39" xfId="41" applyFont="1" applyFill="1" applyBorder="1"/>
    <xf numFmtId="0" fontId="36" fillId="27" borderId="40" xfId="41" applyFont="1" applyFill="1" applyBorder="1"/>
    <xf numFmtId="0" fontId="35" fillId="27" borderId="41" xfId="41" applyFont="1" applyFill="1" applyBorder="1" applyAlignment="1">
      <alignment horizontal="right"/>
    </xf>
    <xf numFmtId="0" fontId="35" fillId="28" borderId="42" xfId="41" applyFont="1" applyFill="1" applyBorder="1" applyAlignment="1">
      <alignment horizontal="left"/>
    </xf>
    <xf numFmtId="0" fontId="39" fillId="0" borderId="42" xfId="41" applyFont="1" applyBorder="1" applyAlignment="1">
      <alignment horizontal="center"/>
    </xf>
    <xf numFmtId="0" fontId="36" fillId="27" borderId="29" xfId="41" applyFont="1" applyFill="1" applyBorder="1"/>
    <xf numFmtId="0" fontId="35" fillId="27" borderId="30" xfId="41" applyFont="1" applyFill="1" applyBorder="1"/>
    <xf numFmtId="0" fontId="35" fillId="27" borderId="31" xfId="41" applyFont="1" applyFill="1" applyBorder="1" applyAlignment="1">
      <alignment horizontal="right"/>
    </xf>
    <xf numFmtId="0" fontId="35" fillId="28" borderId="33" xfId="41" applyFont="1" applyFill="1" applyBorder="1" applyAlignment="1">
      <alignment horizontal="left"/>
    </xf>
    <xf numFmtId="0" fontId="2" fillId="27" borderId="30" xfId="41" applyFill="1" applyBorder="1"/>
    <xf numFmtId="0" fontId="35" fillId="28" borderId="33" xfId="41" applyFont="1" applyFill="1" applyBorder="1"/>
    <xf numFmtId="0" fontId="41" fillId="0" borderId="33" xfId="41" applyFont="1" applyBorder="1" applyAlignment="1">
      <alignment horizontal="center"/>
    </xf>
    <xf numFmtId="0" fontId="37" fillId="0" borderId="33" xfId="41" applyFont="1" applyBorder="1" applyAlignment="1">
      <alignment horizontal="left"/>
    </xf>
    <xf numFmtId="0" fontId="35" fillId="0" borderId="33" xfId="41" applyFont="1" applyBorder="1"/>
    <xf numFmtId="165" fontId="35" fillId="0" borderId="33" xfId="41" applyNumberFormat="1" applyFont="1" applyBorder="1" applyAlignment="1">
      <alignment vertical="top" textRotation="255"/>
    </xf>
    <xf numFmtId="0" fontId="35" fillId="0" borderId="0" xfId="42" applyFont="1"/>
    <xf numFmtId="0" fontId="35" fillId="0" borderId="0" xfId="42" applyFont="1" applyAlignment="1">
      <alignment horizontal="right"/>
    </xf>
    <xf numFmtId="49" fontId="35" fillId="0" borderId="0" xfId="42" applyNumberFormat="1" applyFont="1"/>
    <xf numFmtId="0" fontId="35" fillId="0" borderId="28" xfId="42" applyFont="1" applyBorder="1"/>
    <xf numFmtId="0" fontId="36" fillId="0" borderId="0" xfId="42" applyFont="1" applyAlignment="1">
      <alignment horizontal="left"/>
    </xf>
    <xf numFmtId="0" fontId="36" fillId="0" borderId="0" xfId="42" applyFont="1"/>
    <xf numFmtId="0" fontId="36" fillId="27" borderId="29" xfId="42" applyFont="1" applyFill="1" applyBorder="1" applyAlignment="1">
      <alignment horizontal="left" vertical="top"/>
    </xf>
    <xf numFmtId="0" fontId="35" fillId="27" borderId="30" xfId="42" applyFont="1" applyFill="1" applyBorder="1" applyAlignment="1">
      <alignment horizontal="center" vertical="top"/>
    </xf>
    <xf numFmtId="0" fontId="35" fillId="27" borderId="31" xfId="42" applyFont="1" applyFill="1" applyBorder="1" applyAlignment="1">
      <alignment horizontal="right" vertical="top"/>
    </xf>
    <xf numFmtId="0" fontId="38" fillId="28" borderId="32" xfId="42" applyFont="1" applyFill="1" applyBorder="1" applyAlignment="1">
      <alignment horizontal="right"/>
    </xf>
    <xf numFmtId="0" fontId="39" fillId="0" borderId="33" xfId="42" applyFont="1" applyBorder="1" applyAlignment="1">
      <alignment horizontal="center"/>
    </xf>
    <xf numFmtId="0" fontId="38" fillId="28" borderId="0" xfId="42" applyFont="1" applyFill="1" applyAlignment="1">
      <alignment horizontal="right"/>
    </xf>
    <xf numFmtId="0" fontId="35" fillId="0" borderId="0" xfId="42" applyFont="1" applyAlignment="1">
      <alignment vertical="top"/>
    </xf>
    <xf numFmtId="0" fontId="35" fillId="28" borderId="0" xfId="42" applyFont="1" applyFill="1" applyAlignment="1">
      <alignment horizontal="right"/>
    </xf>
    <xf numFmtId="0" fontId="40" fillId="0" borderId="0" xfId="42" applyFont="1" applyAlignment="1">
      <alignment horizontal="center"/>
    </xf>
    <xf numFmtId="0" fontId="36" fillId="27" borderId="34" xfId="42" applyFont="1" applyFill="1" applyBorder="1" applyAlignment="1">
      <alignment horizontal="left" vertical="top"/>
    </xf>
    <xf numFmtId="0" fontId="35" fillId="27" borderId="35" xfId="42" applyFont="1" applyFill="1" applyBorder="1" applyAlignment="1">
      <alignment horizontal="center" vertical="top"/>
    </xf>
    <xf numFmtId="0" fontId="35" fillId="27" borderId="36" xfId="42" applyFont="1" applyFill="1" applyBorder="1" applyAlignment="1">
      <alignment horizontal="right" vertical="top"/>
    </xf>
    <xf numFmtId="0" fontId="35" fillId="28" borderId="37" xfId="42" applyFont="1" applyFill="1" applyBorder="1" applyAlignment="1">
      <alignment horizontal="right"/>
    </xf>
    <xf numFmtId="0" fontId="39" fillId="0" borderId="38" xfId="42" applyFont="1" applyBorder="1" applyAlignment="1">
      <alignment horizontal="center"/>
    </xf>
    <xf numFmtId="0" fontId="36" fillId="27" borderId="39" xfId="42" applyFont="1" applyFill="1" applyBorder="1"/>
    <xf numFmtId="0" fontId="36" fillId="27" borderId="40" xfId="42" applyFont="1" applyFill="1" applyBorder="1"/>
    <xf numFmtId="0" fontId="35" fillId="27" borderId="41" xfId="42" applyFont="1" applyFill="1" applyBorder="1" applyAlignment="1">
      <alignment horizontal="right"/>
    </xf>
    <xf numFmtId="0" fontId="35" fillId="28" borderId="42" xfId="42" applyFont="1" applyFill="1" applyBorder="1" applyAlignment="1">
      <alignment horizontal="left"/>
    </xf>
    <xf numFmtId="0" fontId="39" fillId="0" borderId="42" xfId="42" applyFont="1" applyBorder="1" applyAlignment="1">
      <alignment horizontal="center"/>
    </xf>
    <xf numFmtId="0" fontId="36" fillId="27" borderId="29" xfId="42" applyFont="1" applyFill="1" applyBorder="1"/>
    <xf numFmtId="0" fontId="35" fillId="27" borderId="30" xfId="42" applyFont="1" applyFill="1" applyBorder="1"/>
    <xf numFmtId="0" fontId="35" fillId="27" borderId="31" xfId="42" applyFont="1" applyFill="1" applyBorder="1" applyAlignment="1">
      <alignment horizontal="right"/>
    </xf>
    <xf numFmtId="0" fontId="35" fillId="28" borderId="33" xfId="42" applyFont="1" applyFill="1" applyBorder="1" applyAlignment="1">
      <alignment horizontal="left"/>
    </xf>
    <xf numFmtId="0" fontId="1" fillId="27" borderId="30" xfId="42" applyFill="1" applyBorder="1"/>
    <xf numFmtId="0" fontId="35" fillId="28" borderId="33" xfId="42" applyFont="1" applyFill="1" applyBorder="1"/>
    <xf numFmtId="0" fontId="41" fillId="0" borderId="33" xfId="42" applyFont="1" applyBorder="1" applyAlignment="1">
      <alignment horizontal="center"/>
    </xf>
    <xf numFmtId="0" fontId="37" fillId="0" borderId="33" xfId="42" applyFont="1" applyBorder="1" applyAlignment="1">
      <alignment horizontal="left"/>
    </xf>
    <xf numFmtId="0" fontId="35" fillId="0" borderId="33" xfId="42" applyFont="1" applyBorder="1"/>
    <xf numFmtId="165" fontId="35" fillId="0" borderId="33" xfId="42" applyNumberFormat="1" applyFont="1" applyBorder="1" applyAlignment="1">
      <alignment vertical="top" textRotation="255"/>
    </xf>
    <xf numFmtId="0" fontId="36" fillId="27" borderId="29" xfId="41" applyFont="1" applyFill="1" applyBorder="1" applyAlignment="1">
      <alignment horizontal="right"/>
    </xf>
    <xf numFmtId="0" fontId="45" fillId="0" borderId="11" xfId="41" applyFont="1" applyBorder="1"/>
    <xf numFmtId="0" fontId="45" fillId="0" borderId="11" xfId="41" applyFont="1" applyBorder="1" applyAlignment="1">
      <alignment horizontal="left" indent="1"/>
    </xf>
    <xf numFmtId="0" fontId="45" fillId="0" borderId="16" xfId="41" applyFont="1" applyBorder="1" applyAlignment="1">
      <alignment vertical="top" wrapText="1"/>
    </xf>
    <xf numFmtId="0" fontId="45" fillId="0" borderId="17" xfId="41" applyFont="1" applyBorder="1" applyAlignment="1">
      <alignment vertical="top" wrapText="1"/>
    </xf>
    <xf numFmtId="1" fontId="24" fillId="24" borderId="16" xfId="41" applyNumberFormat="1" applyFont="1" applyFill="1" applyBorder="1" applyAlignment="1">
      <alignment horizontal="center" vertical="center"/>
    </xf>
    <xf numFmtId="1" fontId="24" fillId="24" borderId="18" xfId="41" applyNumberFormat="1" applyFont="1" applyFill="1" applyBorder="1" applyAlignment="1">
      <alignment horizontal="center" vertical="center"/>
    </xf>
    <xf numFmtId="0" fontId="47" fillId="29" borderId="0" xfId="0" applyFont="1" applyFill="1" applyAlignment="1">
      <alignment horizontal="center"/>
    </xf>
    <xf numFmtId="0" fontId="48" fillId="29" borderId="0" xfId="0" applyFont="1" applyFill="1">
      <alignment vertical="center"/>
    </xf>
    <xf numFmtId="0" fontId="49" fillId="29" borderId="0" xfId="0" applyFont="1" applyFill="1">
      <alignment vertical="center"/>
    </xf>
    <xf numFmtId="0" fontId="50" fillId="29" borderId="0" xfId="0" applyFont="1" applyFill="1" applyAlignment="1">
      <alignment horizontal="justify"/>
    </xf>
    <xf numFmtId="0" fontId="51" fillId="29" borderId="0" xfId="0" applyFont="1" applyFill="1">
      <alignment vertical="center"/>
    </xf>
    <xf numFmtId="0" fontId="52" fillId="29" borderId="0" xfId="0" applyFont="1" applyFill="1" applyAlignment="1">
      <alignment horizontal="justify"/>
    </xf>
    <xf numFmtId="0" fontId="52" fillId="29" borderId="0" xfId="0" applyFont="1" applyFill="1">
      <alignment vertical="center"/>
    </xf>
    <xf numFmtId="0" fontId="50" fillId="29" borderId="0" xfId="0" quotePrefix="1" applyFont="1" applyFill="1" applyAlignment="1">
      <alignment horizontal="justify"/>
    </xf>
    <xf numFmtId="0" fontId="24" fillId="29" borderId="0" xfId="0" applyFont="1" applyFill="1" applyAlignment="1">
      <alignment horizontal="justify"/>
    </xf>
    <xf numFmtId="0" fontId="24" fillId="29" borderId="0" xfId="0" applyFont="1" applyFill="1" applyAlignment="1">
      <alignment horizontal="justify" wrapText="1"/>
    </xf>
    <xf numFmtId="0" fontId="24" fillId="29" borderId="0" xfId="0" applyFont="1" applyFill="1" applyAlignment="1">
      <alignment horizontal="left" wrapText="1"/>
    </xf>
    <xf numFmtId="0" fontId="30" fillId="29" borderId="0" xfId="0" applyFont="1" applyFill="1" applyAlignment="1">
      <alignment horizontal="justify"/>
    </xf>
    <xf numFmtId="0" fontId="45" fillId="29" borderId="0" xfId="0" applyFont="1" applyFill="1" applyAlignment="1">
      <alignment horizontal="justify"/>
    </xf>
    <xf numFmtId="0" fontId="53" fillId="29" borderId="0" xfId="0" applyFont="1" applyFill="1">
      <alignment vertical="center"/>
    </xf>
    <xf numFmtId="0" fontId="30" fillId="24" borderId="43" xfId="41" applyFont="1" applyFill="1" applyBorder="1" applyAlignment="1">
      <alignment horizontal="left"/>
    </xf>
    <xf numFmtId="0" fontId="30" fillId="0" borderId="0" xfId="41" applyFont="1"/>
    <xf numFmtId="0" fontId="30" fillId="0" borderId="0" xfId="41" applyFont="1" applyAlignment="1">
      <alignment horizontal="left"/>
    </xf>
    <xf numFmtId="49" fontId="46" fillId="24" borderId="15" xfId="34" applyNumberFormat="1" applyFont="1" applyFill="1" applyBorder="1"/>
    <xf numFmtId="0" fontId="54" fillId="30" borderId="0" xfId="0" applyFont="1" applyFill="1">
      <alignment vertical="center"/>
    </xf>
    <xf numFmtId="49" fontId="31" fillId="24" borderId="15" xfId="34" applyNumberFormat="1" applyFont="1" applyFill="1" applyBorder="1"/>
    <xf numFmtId="0" fontId="52" fillId="0" borderId="33" xfId="41" applyFont="1" applyBorder="1" applyAlignment="1">
      <alignment horizontal="center"/>
    </xf>
    <xf numFmtId="0" fontId="36" fillId="0" borderId="0" xfId="41" applyFont="1" applyAlignment="1">
      <alignment horizontal="center"/>
    </xf>
    <xf numFmtId="0" fontId="52" fillId="0" borderId="38" xfId="41" applyFont="1" applyBorder="1" applyAlignment="1">
      <alignment horizontal="center"/>
    </xf>
    <xf numFmtId="0" fontId="52" fillId="0" borderId="42" xfId="41" applyFont="1" applyBorder="1" applyAlignment="1">
      <alignment horizontal="center"/>
    </xf>
    <xf numFmtId="0" fontId="51" fillId="27" borderId="30" xfId="41" applyFont="1" applyFill="1" applyBorder="1"/>
    <xf numFmtId="0" fontId="35" fillId="0" borderId="33" xfId="41" applyFont="1" applyBorder="1" applyAlignment="1">
      <alignment horizontal="center"/>
    </xf>
    <xf numFmtId="0" fontId="38" fillId="24" borderId="44" xfId="39" applyFont="1" applyFill="1" applyBorder="1" applyAlignment="1">
      <alignment wrapText="1"/>
    </xf>
    <xf numFmtId="0" fontId="38" fillId="24" borderId="45" xfId="39" applyFont="1" applyFill="1" applyBorder="1" applyAlignment="1">
      <alignment wrapText="1"/>
    </xf>
    <xf numFmtId="0" fontId="35" fillId="24" borderId="46" xfId="41" applyFont="1" applyFill="1" applyBorder="1" applyAlignment="1">
      <alignment horizontal="center" vertical="center"/>
    </xf>
    <xf numFmtId="0" fontId="35" fillId="0" borderId="0" xfId="41" applyFont="1" applyAlignment="1">
      <alignment horizontal="center"/>
    </xf>
    <xf numFmtId="0" fontId="35" fillId="0" borderId="47" xfId="41" applyFont="1" applyBorder="1"/>
    <xf numFmtId="0" fontId="30" fillId="24" borderId="43" xfId="41" applyFont="1" applyFill="1" applyBorder="1" applyAlignment="1">
      <alignment horizontal="left" vertical="center"/>
    </xf>
    <xf numFmtId="0" fontId="45" fillId="24" borderId="10" xfId="41" applyFont="1" applyFill="1" applyBorder="1" applyAlignment="1">
      <alignment horizontal="left"/>
    </xf>
    <xf numFmtId="0" fontId="45" fillId="24" borderId="48" xfId="41" applyFont="1" applyFill="1" applyBorder="1" applyAlignment="1">
      <alignment horizontal="left"/>
    </xf>
    <xf numFmtId="0" fontId="45" fillId="24" borderId="11" xfId="41" applyFont="1" applyFill="1" applyBorder="1" applyAlignment="1">
      <alignment horizontal="left"/>
    </xf>
    <xf numFmtId="0" fontId="30" fillId="24" borderId="43" xfId="41" applyFont="1" applyFill="1" applyBorder="1" applyAlignment="1">
      <alignment vertical="center"/>
    </xf>
    <xf numFmtId="0" fontId="30" fillId="24" borderId="0" xfId="41" applyFont="1" applyFill="1" applyAlignment="1">
      <alignment horizontal="left"/>
    </xf>
    <xf numFmtId="2" fontId="30" fillId="24" borderId="0" xfId="41" applyNumberFormat="1" applyFont="1" applyFill="1" applyAlignment="1">
      <alignment horizontal="right" wrapText="1"/>
    </xf>
    <xf numFmtId="0" fontId="38" fillId="24" borderId="48" xfId="39" applyFont="1" applyFill="1" applyBorder="1" applyAlignment="1">
      <alignment horizontal="left" wrapText="1"/>
    </xf>
    <xf numFmtId="0" fontId="36" fillId="27" borderId="49" xfId="41" applyFont="1" applyFill="1" applyBorder="1"/>
    <xf numFmtId="0" fontId="35" fillId="27" borderId="32" xfId="41" applyFont="1" applyFill="1" applyBorder="1"/>
    <xf numFmtId="0" fontId="35" fillId="27" borderId="50" xfId="41" applyFont="1" applyFill="1" applyBorder="1" applyAlignment="1">
      <alignment horizontal="right"/>
    </xf>
    <xf numFmtId="0" fontId="35" fillId="28" borderId="51" xfId="41" applyFont="1" applyFill="1" applyBorder="1" applyAlignment="1">
      <alignment horizontal="left"/>
    </xf>
    <xf numFmtId="0" fontId="52" fillId="0" borderId="51" xfId="41" applyFont="1" applyBorder="1" applyAlignment="1">
      <alignment horizontal="center"/>
    </xf>
    <xf numFmtId="0" fontId="35" fillId="0" borderId="52" xfId="41" applyFont="1" applyBorder="1" applyAlignment="1">
      <alignment horizontal="left"/>
    </xf>
    <xf numFmtId="0" fontId="35" fillId="0" borderId="52" xfId="41" applyFont="1" applyBorder="1" applyAlignment="1">
      <alignment horizontal="center"/>
    </xf>
    <xf numFmtId="0" fontId="55" fillId="0" borderId="0" xfId="41" applyFont="1" applyAlignment="1">
      <alignment vertical="top"/>
    </xf>
    <xf numFmtId="0" fontId="55" fillId="30" borderId="53" xfId="41" applyFont="1" applyFill="1" applyBorder="1" applyAlignment="1">
      <alignment horizontal="left"/>
    </xf>
    <xf numFmtId="0" fontId="56" fillId="30" borderId="53" xfId="41" applyFont="1" applyFill="1" applyBorder="1"/>
    <xf numFmtId="0" fontId="56" fillId="30" borderId="53" xfId="41" applyFont="1" applyFill="1" applyBorder="1" applyAlignment="1">
      <alignment horizontal="right"/>
    </xf>
    <xf numFmtId="0" fontId="55" fillId="30" borderId="53" xfId="41" applyFont="1" applyFill="1" applyBorder="1" applyAlignment="1">
      <alignment vertical="top" textRotation="180"/>
    </xf>
    <xf numFmtId="0" fontId="55" fillId="30" borderId="54" xfId="41" applyFont="1" applyFill="1" applyBorder="1" applyAlignment="1">
      <alignment vertical="top" textRotation="180"/>
    </xf>
    <xf numFmtId="0" fontId="52" fillId="0" borderId="55" xfId="41" applyFont="1" applyBorder="1" applyAlignment="1">
      <alignment horizontal="center"/>
    </xf>
    <xf numFmtId="0" fontId="55" fillId="30" borderId="56" xfId="41" applyFont="1" applyFill="1" applyBorder="1" applyAlignment="1">
      <alignment vertical="center"/>
    </xf>
    <xf numFmtId="0" fontId="52" fillId="0" borderId="57" xfId="41" applyFont="1" applyBorder="1" applyAlignment="1">
      <alignment horizontal="center"/>
    </xf>
    <xf numFmtId="0" fontId="52" fillId="0" borderId="58" xfId="41" applyFont="1" applyBorder="1" applyAlignment="1">
      <alignment horizontal="center"/>
    </xf>
    <xf numFmtId="0" fontId="52" fillId="0" borderId="59" xfId="41" applyFont="1" applyBorder="1" applyAlignment="1">
      <alignment horizontal="center"/>
    </xf>
    <xf numFmtId="0" fontId="35" fillId="0" borderId="60" xfId="41" applyFont="1" applyBorder="1" applyAlignment="1">
      <alignment horizontal="center"/>
    </xf>
    <xf numFmtId="0" fontId="55" fillId="30" borderId="61" xfId="41" applyFont="1" applyFill="1" applyBorder="1" applyAlignment="1">
      <alignment vertical="top"/>
    </xf>
    <xf numFmtId="0" fontId="35" fillId="0" borderId="55" xfId="41" applyFont="1" applyBorder="1" applyAlignment="1">
      <alignment horizontal="center"/>
    </xf>
    <xf numFmtId="165" fontId="35" fillId="0" borderId="55" xfId="41" applyNumberFormat="1" applyFont="1" applyBorder="1" applyAlignment="1">
      <alignment vertical="top" textRotation="255"/>
    </xf>
    <xf numFmtId="0" fontId="55" fillId="30" borderId="62" xfId="41" applyFont="1" applyFill="1" applyBorder="1" applyAlignment="1">
      <alignment vertical="top"/>
    </xf>
    <xf numFmtId="0" fontId="35" fillId="0" borderId="38" xfId="41" applyFont="1" applyBorder="1"/>
    <xf numFmtId="0" fontId="35" fillId="0" borderId="38" xfId="41" applyFont="1" applyBorder="1" applyAlignment="1">
      <alignment textRotation="255"/>
    </xf>
    <xf numFmtId="0" fontId="35" fillId="0" borderId="57" xfId="41" applyFont="1" applyBorder="1" applyAlignment="1">
      <alignment textRotation="255"/>
    </xf>
    <xf numFmtId="0" fontId="55" fillId="30" borderId="56" xfId="41" applyFont="1" applyFill="1" applyBorder="1" applyAlignment="1">
      <alignment vertical="top"/>
    </xf>
    <xf numFmtId="0" fontId="55" fillId="30" borderId="63" xfId="41" applyFont="1" applyFill="1" applyBorder="1" applyAlignment="1">
      <alignment vertical="top"/>
    </xf>
    <xf numFmtId="0" fontId="55" fillId="30" borderId="63" xfId="41" applyFont="1" applyFill="1" applyBorder="1" applyAlignment="1">
      <alignment vertical="center"/>
    </xf>
    <xf numFmtId="0" fontId="36" fillId="27" borderId="39" xfId="41" applyFont="1" applyFill="1" applyBorder="1" applyAlignment="1">
      <alignment horizontal="left" vertical="top"/>
    </xf>
    <xf numFmtId="0" fontId="35" fillId="27" borderId="40" xfId="41" applyFont="1" applyFill="1" applyBorder="1" applyAlignment="1">
      <alignment horizontal="center" vertical="top"/>
    </xf>
    <xf numFmtId="0" fontId="35" fillId="27" borderId="41" xfId="41" applyFont="1" applyFill="1" applyBorder="1" applyAlignment="1">
      <alignment horizontal="right" vertical="top"/>
    </xf>
    <xf numFmtId="0" fontId="39" fillId="0" borderId="51" xfId="41" applyFont="1" applyBorder="1" applyAlignment="1">
      <alignment horizontal="center"/>
    </xf>
    <xf numFmtId="0" fontId="41" fillId="0" borderId="52" xfId="41" applyFont="1" applyBorder="1" applyAlignment="1">
      <alignment horizontal="center"/>
    </xf>
    <xf numFmtId="0" fontId="56" fillId="30" borderId="64" xfId="41" applyFont="1" applyFill="1" applyBorder="1"/>
    <xf numFmtId="0" fontId="55" fillId="30" borderId="65" xfId="41" applyFont="1" applyFill="1" applyBorder="1" applyAlignment="1">
      <alignment horizontal="left"/>
    </xf>
    <xf numFmtId="0" fontId="56" fillId="30" borderId="65" xfId="41" applyFont="1" applyFill="1" applyBorder="1"/>
    <xf numFmtId="0" fontId="56" fillId="30" borderId="65" xfId="41" applyFont="1" applyFill="1" applyBorder="1" applyAlignment="1">
      <alignment horizontal="right"/>
    </xf>
    <xf numFmtId="0" fontId="55" fillId="30" borderId="65" xfId="41" applyFont="1" applyFill="1" applyBorder="1" applyAlignment="1">
      <alignment vertical="top" textRotation="180"/>
    </xf>
    <xf numFmtId="0" fontId="55" fillId="30" borderId="66" xfId="41" applyFont="1" applyFill="1" applyBorder="1" applyAlignment="1">
      <alignment vertical="top" textRotation="180"/>
    </xf>
    <xf numFmtId="0" fontId="39" fillId="0" borderId="55" xfId="41" applyFont="1" applyBorder="1" applyAlignment="1">
      <alignment horizontal="center"/>
    </xf>
    <xf numFmtId="0" fontId="39" fillId="0" borderId="57" xfId="41" applyFont="1" applyBorder="1" applyAlignment="1">
      <alignment horizontal="center"/>
    </xf>
    <xf numFmtId="0" fontId="39" fillId="0" borderId="58" xfId="41" applyFont="1" applyBorder="1" applyAlignment="1">
      <alignment horizontal="center"/>
    </xf>
    <xf numFmtId="0" fontId="39" fillId="0" borderId="59" xfId="41" applyFont="1" applyBorder="1" applyAlignment="1">
      <alignment horizontal="center"/>
    </xf>
    <xf numFmtId="0" fontId="41" fillId="0" borderId="60" xfId="41" applyFont="1" applyBorder="1" applyAlignment="1">
      <alignment horizontal="center"/>
    </xf>
    <xf numFmtId="0" fontId="41" fillId="0" borderId="55" xfId="41" applyFont="1" applyBorder="1" applyAlignment="1">
      <alignment horizontal="center"/>
    </xf>
    <xf numFmtId="0" fontId="55" fillId="30" borderId="67" xfId="41" applyFont="1" applyFill="1" applyBorder="1" applyAlignment="1">
      <alignment vertical="top"/>
    </xf>
    <xf numFmtId="164" fontId="27" fillId="25" borderId="68" xfId="41" applyNumberFormat="1" applyFont="1" applyFill="1" applyBorder="1" applyAlignment="1">
      <alignment horizontal="center" vertical="center"/>
    </xf>
    <xf numFmtId="0" fontId="55" fillId="30" borderId="69" xfId="41" applyFont="1" applyFill="1" applyBorder="1" applyAlignment="1">
      <alignment horizontal="left"/>
    </xf>
    <xf numFmtId="0" fontId="56" fillId="30" borderId="69" xfId="41" applyFont="1" applyFill="1" applyBorder="1"/>
    <xf numFmtId="0" fontId="56" fillId="30" borderId="69" xfId="41" applyFont="1" applyFill="1" applyBorder="1" applyAlignment="1">
      <alignment horizontal="right"/>
    </xf>
    <xf numFmtId="0" fontId="55" fillId="30" borderId="69" xfId="41" applyFont="1" applyFill="1" applyBorder="1" applyAlignment="1">
      <alignment vertical="top" textRotation="180"/>
    </xf>
    <xf numFmtId="0" fontId="55" fillId="30" borderId="70" xfId="41" applyFont="1" applyFill="1" applyBorder="1" applyAlignment="1">
      <alignment vertical="top" textRotation="180"/>
    </xf>
    <xf numFmtId="0" fontId="38" fillId="24" borderId="44" xfId="40" applyFont="1" applyFill="1" applyBorder="1" applyAlignment="1">
      <alignment wrapText="1"/>
    </xf>
    <xf numFmtId="0" fontId="38" fillId="24" borderId="45" xfId="40" applyFont="1" applyFill="1" applyBorder="1" applyAlignment="1">
      <alignment wrapText="1"/>
    </xf>
    <xf numFmtId="0" fontId="38" fillId="24" borderId="48" xfId="40" applyFont="1" applyFill="1" applyBorder="1" applyAlignment="1">
      <alignment horizontal="left" wrapText="1"/>
    </xf>
    <xf numFmtId="0" fontId="35" fillId="24" borderId="46" xfId="42" applyFont="1" applyFill="1" applyBorder="1" applyAlignment="1">
      <alignment horizontal="center" vertical="center"/>
    </xf>
    <xf numFmtId="0" fontId="36" fillId="27" borderId="49" xfId="42" applyFont="1" applyFill="1" applyBorder="1"/>
    <xf numFmtId="0" fontId="35" fillId="27" borderId="32" xfId="42" applyFont="1" applyFill="1" applyBorder="1"/>
    <xf numFmtId="0" fontId="35" fillId="27" borderId="50" xfId="42" applyFont="1" applyFill="1" applyBorder="1" applyAlignment="1">
      <alignment horizontal="right"/>
    </xf>
    <xf numFmtId="0" fontId="35" fillId="28" borderId="51" xfId="42" applyFont="1" applyFill="1" applyBorder="1" applyAlignment="1">
      <alignment horizontal="left"/>
    </xf>
    <xf numFmtId="0" fontId="39" fillId="0" borderId="51" xfId="42" applyFont="1" applyBorder="1" applyAlignment="1">
      <alignment horizontal="center"/>
    </xf>
    <xf numFmtId="0" fontId="35" fillId="0" borderId="52" xfId="42" applyFont="1" applyBorder="1" applyAlignment="1">
      <alignment horizontal="left"/>
    </xf>
    <xf numFmtId="0" fontId="41" fillId="0" borderId="52" xfId="42" applyFont="1" applyBorder="1" applyAlignment="1">
      <alignment horizontal="center"/>
    </xf>
    <xf numFmtId="0" fontId="56" fillId="30" borderId="64" xfId="42" applyFont="1" applyFill="1" applyBorder="1"/>
    <xf numFmtId="0" fontId="55" fillId="30" borderId="53" xfId="42" applyFont="1" applyFill="1" applyBorder="1" applyAlignment="1">
      <alignment horizontal="left"/>
    </xf>
    <xf numFmtId="0" fontId="56" fillId="30" borderId="53" xfId="42" applyFont="1" applyFill="1" applyBorder="1"/>
    <xf numFmtId="0" fontId="56" fillId="30" borderId="53" xfId="42" applyFont="1" applyFill="1" applyBorder="1" applyAlignment="1">
      <alignment horizontal="right"/>
    </xf>
    <xf numFmtId="0" fontId="55" fillId="30" borderId="53" xfId="42" applyFont="1" applyFill="1" applyBorder="1" applyAlignment="1">
      <alignment vertical="top" textRotation="180"/>
    </xf>
    <xf numFmtId="0" fontId="55" fillId="30" borderId="54" xfId="42" applyFont="1" applyFill="1" applyBorder="1" applyAlignment="1">
      <alignment vertical="top" textRotation="180"/>
    </xf>
    <xf numFmtId="0" fontId="55" fillId="30" borderId="63" xfId="42" applyFont="1" applyFill="1" applyBorder="1" applyAlignment="1">
      <alignment vertical="center"/>
    </xf>
    <xf numFmtId="0" fontId="39" fillId="0" borderId="55" xfId="42" applyFont="1" applyBorder="1" applyAlignment="1">
      <alignment horizontal="center"/>
    </xf>
    <xf numFmtId="0" fontId="55" fillId="30" borderId="56" xfId="42" applyFont="1" applyFill="1" applyBorder="1" applyAlignment="1">
      <alignment vertical="center"/>
    </xf>
    <xf numFmtId="0" fontId="39" fillId="0" borderId="57" xfId="42" applyFont="1" applyBorder="1" applyAlignment="1">
      <alignment horizontal="center"/>
    </xf>
    <xf numFmtId="0" fontId="55" fillId="30" borderId="63" xfId="42" applyFont="1" applyFill="1" applyBorder="1" applyAlignment="1">
      <alignment vertical="top"/>
    </xf>
    <xf numFmtId="0" fontId="39" fillId="0" borderId="58" xfId="42" applyFont="1" applyBorder="1" applyAlignment="1">
      <alignment horizontal="center"/>
    </xf>
    <xf numFmtId="0" fontId="55" fillId="30" borderId="56" xfId="42" applyFont="1" applyFill="1" applyBorder="1" applyAlignment="1">
      <alignment vertical="top"/>
    </xf>
    <xf numFmtId="0" fontId="39" fillId="0" borderId="59" xfId="42" applyFont="1" applyBorder="1" applyAlignment="1">
      <alignment horizontal="center"/>
    </xf>
    <xf numFmtId="0" fontId="41" fillId="0" borderId="60" xfId="42" applyFont="1" applyBorder="1" applyAlignment="1">
      <alignment horizontal="center"/>
    </xf>
    <xf numFmtId="0" fontId="55" fillId="30" borderId="61" xfId="42" applyFont="1" applyFill="1" applyBorder="1" applyAlignment="1">
      <alignment vertical="top"/>
    </xf>
    <xf numFmtId="0" fontId="41" fillId="0" borderId="55" xfId="42" applyFont="1" applyBorder="1" applyAlignment="1">
      <alignment horizontal="center"/>
    </xf>
    <xf numFmtId="165" fontId="35" fillId="0" borderId="55" xfId="42" applyNumberFormat="1" applyFont="1" applyBorder="1" applyAlignment="1">
      <alignment vertical="top" textRotation="255"/>
    </xf>
    <xf numFmtId="0" fontId="55" fillId="30" borderId="62" xfId="42" applyFont="1" applyFill="1" applyBorder="1" applyAlignment="1">
      <alignment vertical="top"/>
    </xf>
    <xf numFmtId="0" fontId="35" fillId="0" borderId="38" xfId="42" applyFont="1" applyBorder="1"/>
    <xf numFmtId="0" fontId="35" fillId="0" borderId="38" xfId="42" applyFont="1" applyBorder="1" applyAlignment="1">
      <alignment textRotation="255"/>
    </xf>
    <xf numFmtId="0" fontId="35" fillId="0" borderId="57" xfId="42" applyFont="1" applyBorder="1" applyAlignment="1">
      <alignment textRotation="255"/>
    </xf>
    <xf numFmtId="0" fontId="35" fillId="24" borderId="78" xfId="41" applyFont="1" applyFill="1" applyBorder="1" applyAlignment="1">
      <alignment horizontal="center" vertical="center"/>
    </xf>
    <xf numFmtId="0" fontId="38" fillId="24" borderId="48" xfId="39" applyFont="1" applyFill="1" applyBorder="1" applyAlignment="1">
      <alignment horizontal="center" wrapText="1"/>
    </xf>
    <xf numFmtId="0" fontId="38" fillId="24" borderId="85" xfId="39" applyFont="1" applyFill="1" applyBorder="1" applyAlignment="1">
      <alignment horizontal="left" wrapText="1"/>
    </xf>
    <xf numFmtId="0" fontId="38" fillId="24" borderId="86" xfId="39" applyFont="1" applyFill="1" applyBorder="1" applyAlignment="1">
      <alignment horizontal="left" wrapText="1"/>
    </xf>
    <xf numFmtId="0" fontId="35" fillId="24" borderId="87" xfId="41" applyFont="1" applyFill="1" applyBorder="1" applyAlignment="1">
      <alignment horizontal="center" vertical="center"/>
    </xf>
    <xf numFmtId="0" fontId="38" fillId="24" borderId="10" xfId="39" applyFont="1" applyFill="1" applyBorder="1" applyAlignment="1">
      <alignment horizontal="center" wrapText="1"/>
    </xf>
    <xf numFmtId="0" fontId="58" fillId="0" borderId="0" xfId="0" applyFont="1">
      <alignment vertical="center"/>
    </xf>
    <xf numFmtId="0" fontId="13" fillId="27" borderId="31" xfId="34" applyFill="1" applyBorder="1" applyAlignment="1">
      <alignment horizontal="right" vertical="top"/>
    </xf>
    <xf numFmtId="0" fontId="13" fillId="0" borderId="0" xfId="34" applyAlignment="1">
      <alignment vertical="center"/>
    </xf>
    <xf numFmtId="0" fontId="57" fillId="0" borderId="33" xfId="0" applyFont="1" applyBorder="1" applyAlignment="1">
      <alignment horizontal="right" vertical="center"/>
    </xf>
    <xf numFmtId="0" fontId="35" fillId="0" borderId="100" xfId="41" applyFont="1" applyBorder="1" applyAlignment="1">
      <alignment horizontal="left"/>
    </xf>
    <xf numFmtId="0" fontId="35" fillId="0" borderId="65" xfId="41" applyFont="1" applyBorder="1" applyAlignment="1">
      <alignment horizontal="left"/>
    </xf>
    <xf numFmtId="0" fontId="35" fillId="0" borderId="29" xfId="41" applyFont="1" applyBorder="1" applyAlignment="1">
      <alignment horizontal="left"/>
    </xf>
    <xf numFmtId="0" fontId="35" fillId="0" borderId="30" xfId="41" applyFont="1" applyBorder="1" applyAlignment="1">
      <alignment horizontal="left"/>
    </xf>
    <xf numFmtId="0" fontId="35" fillId="0" borderId="31" xfId="41" applyFont="1" applyBorder="1" applyAlignment="1">
      <alignment horizontal="left"/>
    </xf>
    <xf numFmtId="0" fontId="35" fillId="0" borderId="29" xfId="41" applyFont="1" applyBorder="1" applyAlignment="1">
      <alignment horizontal="left" vertical="top"/>
    </xf>
    <xf numFmtId="0" fontId="35" fillId="0" borderId="30" xfId="41" applyFont="1" applyBorder="1" applyAlignment="1">
      <alignment horizontal="left" vertical="top"/>
    </xf>
    <xf numFmtId="0" fontId="35" fillId="0" borderId="31" xfId="41" applyFont="1" applyBorder="1" applyAlignment="1">
      <alignment horizontal="left" vertical="top"/>
    </xf>
    <xf numFmtId="0" fontId="35" fillId="0" borderId="34" xfId="41" applyFont="1" applyBorder="1" applyAlignment="1">
      <alignment horizontal="left" vertical="top"/>
    </xf>
    <xf numFmtId="0" fontId="35" fillId="0" borderId="35" xfId="41" applyFont="1" applyBorder="1" applyAlignment="1">
      <alignment horizontal="left" vertical="top"/>
    </xf>
    <xf numFmtId="0" fontId="35" fillId="0" borderId="36" xfId="41" applyFont="1" applyBorder="1" applyAlignment="1">
      <alignment horizontal="left" vertical="top"/>
    </xf>
    <xf numFmtId="0" fontId="51" fillId="27" borderId="32" xfId="41" applyFont="1" applyFill="1" applyBorder="1"/>
    <xf numFmtId="0" fontId="35" fillId="28" borderId="51" xfId="41" applyFont="1" applyFill="1" applyBorder="1"/>
    <xf numFmtId="0" fontId="36" fillId="27" borderId="0" xfId="41" applyFont="1" applyFill="1" applyAlignment="1">
      <alignment horizontal="left" vertical="top"/>
    </xf>
    <xf numFmtId="0" fontId="57" fillId="0" borderId="31" xfId="0" applyFont="1" applyBorder="1" applyAlignment="1">
      <alignment horizontal="right" vertical="center"/>
    </xf>
    <xf numFmtId="0" fontId="55" fillId="30" borderId="0" xfId="41" applyFont="1" applyFill="1" applyAlignment="1">
      <alignment vertical="top"/>
    </xf>
    <xf numFmtId="0" fontId="36" fillId="27" borderId="0" xfId="41" applyFont="1" applyFill="1"/>
    <xf numFmtId="0" fontId="51" fillId="27" borderId="0" xfId="41" applyFont="1" applyFill="1"/>
    <xf numFmtId="0" fontId="35" fillId="27" borderId="0" xfId="41" applyFont="1" applyFill="1" applyAlignment="1">
      <alignment horizontal="right"/>
    </xf>
    <xf numFmtId="0" fontId="35" fillId="28" borderId="0" xfId="41" applyFont="1" applyFill="1"/>
    <xf numFmtId="0" fontId="52" fillId="0" borderId="0" xfId="41" applyFont="1" applyAlignment="1">
      <alignment horizontal="center"/>
    </xf>
    <xf numFmtId="0" fontId="23" fillId="0" borderId="43" xfId="41" applyFont="1" applyBorder="1" applyAlignment="1">
      <alignment horizontal="center" vertical="center"/>
    </xf>
    <xf numFmtId="0" fontId="45" fillId="0" borderId="43" xfId="41" applyFont="1" applyBorder="1" applyAlignment="1">
      <alignment horizontal="left"/>
    </xf>
    <xf numFmtId="0" fontId="45" fillId="0" borderId="10" xfId="41" applyFont="1" applyBorder="1" applyAlignment="1">
      <alignment horizontal="left" vertical="center"/>
    </xf>
    <xf numFmtId="0" fontId="45" fillId="0" borderId="48" xfId="41" applyFont="1" applyBorder="1" applyAlignment="1">
      <alignment horizontal="left" vertical="center"/>
    </xf>
    <xf numFmtId="0" fontId="45" fillId="0" borderId="11" xfId="41" applyFont="1" applyBorder="1" applyAlignment="1">
      <alignment horizontal="left" vertical="center"/>
    </xf>
    <xf numFmtId="1" fontId="30" fillId="24" borderId="43" xfId="41" applyNumberFormat="1" applyFont="1" applyFill="1" applyBorder="1" applyAlignment="1">
      <alignment vertical="center" wrapText="1"/>
    </xf>
    <xf numFmtId="1" fontId="30" fillId="24" borderId="10" xfId="41" applyNumberFormat="1" applyFont="1" applyFill="1" applyBorder="1"/>
    <xf numFmtId="0" fontId="45" fillId="24" borderId="10" xfId="41" applyFont="1" applyFill="1" applyBorder="1" applyAlignment="1">
      <alignment horizontal="left"/>
    </xf>
    <xf numFmtId="0" fontId="45" fillId="24" borderId="48" xfId="41" applyFont="1" applyFill="1" applyBorder="1" applyAlignment="1">
      <alignment horizontal="left"/>
    </xf>
    <xf numFmtId="0" fontId="45" fillId="24" borderId="11" xfId="41" applyFont="1" applyFill="1" applyBorder="1" applyAlignment="1">
      <alignment horizontal="left"/>
    </xf>
    <xf numFmtId="0" fontId="45" fillId="24" borderId="10" xfId="41" applyFont="1" applyFill="1" applyBorder="1" applyAlignment="1">
      <alignment horizontal="left" vertical="top" wrapText="1"/>
    </xf>
    <xf numFmtId="0" fontId="45" fillId="24" borderId="48" xfId="41" applyFont="1" applyFill="1" applyBorder="1" applyAlignment="1">
      <alignment horizontal="left" vertical="top" wrapText="1"/>
    </xf>
    <xf numFmtId="0" fontId="45" fillId="24" borderId="11" xfId="41" applyFont="1" applyFill="1" applyBorder="1" applyAlignment="1">
      <alignment horizontal="left" vertical="top" wrapText="1"/>
    </xf>
    <xf numFmtId="1" fontId="30" fillId="24" borderId="10" xfId="41" applyNumberFormat="1" applyFont="1" applyFill="1" applyBorder="1" applyAlignment="1">
      <alignment horizontal="left"/>
    </xf>
    <xf numFmtId="1" fontId="30" fillId="24" borderId="48" xfId="41" applyNumberFormat="1" applyFont="1" applyFill="1" applyBorder="1" applyAlignment="1">
      <alignment horizontal="left"/>
    </xf>
    <xf numFmtId="1" fontId="30" fillId="24" borderId="11" xfId="41" applyNumberFormat="1" applyFont="1" applyFill="1" applyBorder="1" applyAlignment="1">
      <alignment horizontal="left"/>
    </xf>
    <xf numFmtId="14" fontId="45" fillId="24" borderId="10" xfId="41" applyNumberFormat="1" applyFont="1" applyFill="1" applyBorder="1" applyAlignment="1">
      <alignment horizontal="left" vertical="top"/>
    </xf>
    <xf numFmtId="14" fontId="45" fillId="24" borderId="48" xfId="41" applyNumberFormat="1" applyFont="1" applyFill="1" applyBorder="1" applyAlignment="1">
      <alignment horizontal="left" vertical="top"/>
    </xf>
    <xf numFmtId="14" fontId="45" fillId="24" borderId="11" xfId="41" applyNumberFormat="1" applyFont="1" applyFill="1" applyBorder="1" applyAlignment="1">
      <alignment horizontal="left" vertical="top"/>
    </xf>
    <xf numFmtId="0" fontId="45" fillId="24" borderId="43" xfId="41" applyFont="1" applyFill="1" applyBorder="1" applyAlignment="1">
      <alignment horizontal="left"/>
    </xf>
    <xf numFmtId="0" fontId="30" fillId="24" borderId="43" xfId="41" applyFont="1" applyFill="1" applyBorder="1" applyAlignment="1">
      <alignment horizontal="left"/>
    </xf>
    <xf numFmtId="0" fontId="45" fillId="24" borderId="43" xfId="38" applyFont="1" applyFill="1" applyBorder="1" applyAlignment="1">
      <alignment vertical="top"/>
    </xf>
    <xf numFmtId="0" fontId="23" fillId="24" borderId="0" xfId="38" applyFont="1" applyFill="1" applyAlignment="1">
      <alignment horizontal="center"/>
    </xf>
    <xf numFmtId="0" fontId="30" fillId="24" borderId="10" xfId="41" applyFont="1" applyFill="1" applyBorder="1" applyAlignment="1">
      <alignment horizontal="center"/>
    </xf>
    <xf numFmtId="0" fontId="30" fillId="24" borderId="48" xfId="41" applyFont="1" applyFill="1" applyBorder="1" applyAlignment="1">
      <alignment horizontal="center"/>
    </xf>
    <xf numFmtId="0" fontId="30" fillId="24" borderId="11" xfId="41" applyFont="1" applyFill="1" applyBorder="1" applyAlignment="1">
      <alignment horizontal="center"/>
    </xf>
    <xf numFmtId="0" fontId="36" fillId="24" borderId="48" xfId="41" applyFont="1" applyFill="1" applyBorder="1" applyAlignment="1">
      <alignment horizontal="center" vertical="center" wrapText="1"/>
    </xf>
    <xf numFmtId="0" fontId="36" fillId="24" borderId="88" xfId="41" applyFont="1" applyFill="1" applyBorder="1" applyAlignment="1">
      <alignment horizontal="center" vertical="center" wrapText="1"/>
    </xf>
    <xf numFmtId="0" fontId="36" fillId="24" borderId="89" xfId="41" applyFont="1" applyFill="1" applyBorder="1" applyAlignment="1">
      <alignment horizontal="center" vertical="center" wrapText="1"/>
    </xf>
    <xf numFmtId="49" fontId="35" fillId="24" borderId="73" xfId="39" applyNumberFormat="1" applyFont="1" applyFill="1" applyBorder="1" applyAlignment="1">
      <alignment horizontal="center" wrapText="1"/>
    </xf>
    <xf numFmtId="0" fontId="35" fillId="24" borderId="72" xfId="39" applyFont="1" applyFill="1" applyBorder="1" applyAlignment="1">
      <alignment horizontal="center" wrapText="1"/>
    </xf>
    <xf numFmtId="0" fontId="35" fillId="24" borderId="90" xfId="39" applyFont="1" applyFill="1" applyBorder="1" applyAlignment="1">
      <alignment horizontal="center" wrapText="1"/>
    </xf>
    <xf numFmtId="0" fontId="38" fillId="24" borderId="44" xfId="39" applyFont="1" applyFill="1" applyBorder="1" applyAlignment="1">
      <alignment horizontal="left" wrapText="1"/>
    </xf>
    <xf numFmtId="0" fontId="36" fillId="24" borderId="10" xfId="41" applyFont="1" applyFill="1" applyBorder="1" applyAlignment="1">
      <alignment horizontal="center" vertical="center" wrapText="1"/>
    </xf>
    <xf numFmtId="0" fontId="36" fillId="24" borderId="11" xfId="41" applyFont="1" applyFill="1" applyBorder="1" applyAlignment="1">
      <alignment horizontal="center" vertical="center" wrapText="1"/>
    </xf>
    <xf numFmtId="0" fontId="36" fillId="24" borderId="29" xfId="39" applyFont="1" applyFill="1" applyBorder="1" applyAlignment="1">
      <alignment horizontal="left" wrapText="1"/>
    </xf>
    <xf numFmtId="0" fontId="36" fillId="24" borderId="30" xfId="39" applyFont="1" applyFill="1" applyBorder="1" applyAlignment="1">
      <alignment horizontal="left" wrapText="1"/>
    </xf>
    <xf numFmtId="0" fontId="36" fillId="24" borderId="31" xfId="39" applyFont="1" applyFill="1" applyBorder="1" applyAlignment="1">
      <alignment horizontal="left" wrapText="1"/>
    </xf>
    <xf numFmtId="0" fontId="35" fillId="24" borderId="88" xfId="39" applyFont="1" applyFill="1" applyBorder="1" applyAlignment="1">
      <alignment horizontal="center" wrapText="1"/>
    </xf>
    <xf numFmtId="0" fontId="35" fillId="24" borderId="48" xfId="39" applyFont="1" applyFill="1" applyBorder="1" applyAlignment="1">
      <alignment horizontal="center" wrapText="1"/>
    </xf>
    <xf numFmtId="0" fontId="35" fillId="24" borderId="91" xfId="39" applyFont="1" applyFill="1" applyBorder="1" applyAlignment="1">
      <alignment horizontal="center" wrapText="1"/>
    </xf>
    <xf numFmtId="0" fontId="36" fillId="24" borderId="92" xfId="41" applyFont="1" applyFill="1" applyBorder="1" applyAlignment="1">
      <alignment horizontal="center" vertical="center" wrapText="1"/>
    </xf>
    <xf numFmtId="0" fontId="35" fillId="0" borderId="0" xfId="41" applyFont="1" applyAlignment="1">
      <alignment horizontal="right"/>
    </xf>
    <xf numFmtId="0" fontId="35" fillId="0" borderId="101" xfId="41" applyFont="1" applyBorder="1" applyAlignment="1">
      <alignment horizontal="right"/>
    </xf>
    <xf numFmtId="0" fontId="36" fillId="24" borderId="71" xfId="39" applyFont="1" applyFill="1" applyBorder="1" applyAlignment="1">
      <alignment horizontal="left" wrapText="1"/>
    </xf>
    <xf numFmtId="0" fontId="36" fillId="24" borderId="72" xfId="39" applyFont="1" applyFill="1" applyBorder="1" applyAlignment="1">
      <alignment horizontal="left" wrapText="1"/>
    </xf>
    <xf numFmtId="49" fontId="38" fillId="24" borderId="73" xfId="39" applyNumberFormat="1" applyFont="1" applyFill="1" applyBorder="1" applyAlignment="1">
      <alignment horizontal="left" wrapText="1"/>
    </xf>
    <xf numFmtId="0" fontId="38" fillId="24" borderId="72" xfId="39" applyFont="1" applyFill="1" applyBorder="1" applyAlignment="1">
      <alignment horizontal="left" wrapText="1"/>
    </xf>
    <xf numFmtId="0" fontId="38" fillId="24" borderId="74" xfId="39" applyFont="1" applyFill="1" applyBorder="1" applyAlignment="1">
      <alignment horizontal="left" wrapText="1"/>
    </xf>
    <xf numFmtId="0" fontId="36" fillId="24" borderId="75" xfId="39" applyFont="1" applyFill="1" applyBorder="1" applyAlignment="1">
      <alignment horizontal="left" wrapText="1"/>
    </xf>
    <xf numFmtId="0" fontId="36" fillId="24" borderId="76" xfId="39" applyFont="1" applyFill="1" applyBorder="1" applyAlignment="1">
      <alignment horizontal="left" wrapText="1"/>
    </xf>
    <xf numFmtId="0" fontId="35" fillId="24" borderId="77" xfId="41" applyFont="1" applyFill="1" applyBorder="1" applyAlignment="1">
      <alignment horizontal="center" vertical="center"/>
    </xf>
    <xf numFmtId="0" fontId="35" fillId="24" borderId="78" xfId="41" applyFont="1" applyFill="1" applyBorder="1" applyAlignment="1">
      <alignment horizontal="center" vertical="center"/>
    </xf>
    <xf numFmtId="0" fontId="35" fillId="24" borderId="79" xfId="41" applyFont="1" applyFill="1" applyBorder="1" applyAlignment="1">
      <alignment horizontal="center" vertical="center"/>
    </xf>
    <xf numFmtId="0" fontId="35" fillId="24" borderId="80" xfId="41" applyFont="1" applyFill="1" applyBorder="1" applyAlignment="1">
      <alignment horizontal="center" vertical="center"/>
    </xf>
    <xf numFmtId="0" fontId="35" fillId="24" borderId="81" xfId="41" applyFont="1" applyFill="1" applyBorder="1" applyAlignment="1">
      <alignment horizontal="center" vertical="center"/>
    </xf>
    <xf numFmtId="0" fontId="36" fillId="24" borderId="82" xfId="39" applyFont="1" applyFill="1" applyBorder="1" applyAlignment="1">
      <alignment horizontal="left" wrapText="1"/>
    </xf>
    <xf numFmtId="0" fontId="36" fillId="24" borderId="11" xfId="39" applyFont="1" applyFill="1" applyBorder="1" applyAlignment="1">
      <alignment horizontal="left" wrapText="1"/>
    </xf>
    <xf numFmtId="0" fontId="38" fillId="24" borderId="83" xfId="39" applyFont="1" applyFill="1" applyBorder="1" applyAlignment="1">
      <alignment horizontal="left" wrapText="1"/>
    </xf>
    <xf numFmtId="0" fontId="38" fillId="24" borderId="84" xfId="39" applyFont="1" applyFill="1" applyBorder="1" applyAlignment="1">
      <alignment horizontal="left" wrapText="1"/>
    </xf>
    <xf numFmtId="0" fontId="36" fillId="24" borderId="82" xfId="41" applyFont="1" applyFill="1" applyBorder="1" applyAlignment="1">
      <alignment horizontal="center" vertical="center"/>
    </xf>
    <xf numFmtId="0" fontId="36" fillId="24" borderId="11" xfId="41" applyFont="1" applyFill="1" applyBorder="1" applyAlignment="1">
      <alignment horizontal="center" vertical="center"/>
    </xf>
    <xf numFmtId="0" fontId="35" fillId="0" borderId="38" xfId="41" applyFont="1" applyBorder="1" applyAlignment="1">
      <alignment horizontal="left" vertical="top"/>
    </xf>
    <xf numFmtId="0" fontId="35" fillId="0" borderId="52" xfId="41" applyFont="1" applyBorder="1" applyAlignment="1">
      <alignment horizontal="left"/>
    </xf>
    <xf numFmtId="0" fontId="36" fillId="24" borderId="95" xfId="39" applyFont="1" applyFill="1" applyBorder="1" applyAlignment="1">
      <alignment horizontal="left" wrapText="1"/>
    </xf>
    <xf numFmtId="0" fontId="36" fillId="24" borderId="96" xfId="39" applyFont="1" applyFill="1" applyBorder="1" applyAlignment="1">
      <alignment horizontal="left" wrapText="1"/>
    </xf>
    <xf numFmtId="0" fontId="38" fillId="24" borderId="10" xfId="39" applyFont="1" applyFill="1" applyBorder="1" applyAlignment="1">
      <alignment horizontal="center" wrapText="1"/>
    </xf>
    <xf numFmtId="0" fontId="38" fillId="24" borderId="48" xfId="39" applyFont="1" applyFill="1" applyBorder="1" applyAlignment="1">
      <alignment horizontal="center" wrapText="1"/>
    </xf>
    <xf numFmtId="0" fontId="35" fillId="0" borderId="33" xfId="41" applyFont="1" applyBorder="1" applyAlignment="1">
      <alignment horizontal="left"/>
    </xf>
    <xf numFmtId="0" fontId="38" fillId="24" borderId="85" xfId="39" applyFont="1" applyFill="1" applyBorder="1" applyAlignment="1">
      <alignment horizontal="left" wrapText="1"/>
    </xf>
    <xf numFmtId="0" fontId="38" fillId="24" borderId="86" xfId="39" applyFont="1" applyFill="1" applyBorder="1" applyAlignment="1">
      <alignment horizontal="left" wrapText="1"/>
    </xf>
    <xf numFmtId="0" fontId="35" fillId="0" borderId="33" xfId="41" applyFont="1" applyBorder="1" applyAlignment="1">
      <alignment horizontal="left" vertical="top"/>
    </xf>
    <xf numFmtId="0" fontId="36" fillId="24" borderId="93" xfId="39" applyFont="1" applyFill="1" applyBorder="1" applyAlignment="1">
      <alignment horizontal="left" wrapText="1"/>
    </xf>
    <xf numFmtId="0" fontId="36" fillId="24" borderId="47" xfId="39" applyFont="1" applyFill="1" applyBorder="1" applyAlignment="1">
      <alignment horizontal="left" wrapText="1"/>
    </xf>
    <xf numFmtId="0" fontId="35" fillId="24" borderId="46" xfId="41" applyFont="1" applyFill="1" applyBorder="1" applyAlignment="1">
      <alignment horizontal="center" vertical="center"/>
    </xf>
    <xf numFmtId="0" fontId="35" fillId="24" borderId="87" xfId="41" applyFont="1" applyFill="1" applyBorder="1" applyAlignment="1">
      <alignment horizontal="center" vertical="center"/>
    </xf>
    <xf numFmtId="49" fontId="38" fillId="24" borderId="47" xfId="39" applyNumberFormat="1" applyFont="1" applyFill="1" applyBorder="1" applyAlignment="1">
      <alignment horizontal="left" wrapText="1"/>
    </xf>
    <xf numFmtId="49" fontId="38" fillId="24" borderId="94" xfId="39" applyNumberFormat="1" applyFont="1" applyFill="1" applyBorder="1" applyAlignment="1">
      <alignment horizontal="left" wrapText="1"/>
    </xf>
    <xf numFmtId="0" fontId="34" fillId="0" borderId="47" xfId="0" applyFont="1" applyBorder="1">
      <alignment vertical="center"/>
    </xf>
    <xf numFmtId="0" fontId="36" fillId="24" borderId="39" xfId="39" applyFont="1" applyFill="1" applyBorder="1" applyAlignment="1">
      <alignment horizontal="left" wrapText="1"/>
    </xf>
    <xf numFmtId="0" fontId="36" fillId="24" borderId="40" xfId="39" applyFont="1" applyFill="1" applyBorder="1" applyAlignment="1">
      <alignment horizontal="left" wrapText="1"/>
    </xf>
    <xf numFmtId="0" fontId="36" fillId="24" borderId="41" xfId="39" applyFont="1" applyFill="1" applyBorder="1" applyAlignment="1">
      <alignment horizontal="left" wrapText="1"/>
    </xf>
    <xf numFmtId="0" fontId="35" fillId="0" borderId="38" xfId="42" applyFont="1" applyBorder="1" applyAlignment="1">
      <alignment horizontal="left" vertical="top"/>
    </xf>
    <xf numFmtId="0" fontId="35" fillId="0" borderId="52" xfId="42" applyFont="1" applyBorder="1" applyAlignment="1">
      <alignment horizontal="left"/>
    </xf>
    <xf numFmtId="0" fontId="38" fillId="24" borderId="83" xfId="40" applyFont="1" applyFill="1" applyBorder="1" applyAlignment="1">
      <alignment horizontal="left" wrapText="1"/>
    </xf>
    <xf numFmtId="0" fontId="38" fillId="24" borderId="44" xfId="40" applyFont="1" applyFill="1" applyBorder="1" applyAlignment="1">
      <alignment horizontal="left" wrapText="1"/>
    </xf>
    <xf numFmtId="0" fontId="38" fillId="24" borderId="84" xfId="40" applyFont="1" applyFill="1" applyBorder="1" applyAlignment="1">
      <alignment horizontal="left" wrapText="1"/>
    </xf>
    <xf numFmtId="0" fontId="35" fillId="0" borderId="0" xfId="42" applyFont="1" applyAlignment="1">
      <alignment horizontal="right"/>
    </xf>
    <xf numFmtId="0" fontId="36" fillId="24" borderId="82" xfId="42" applyFont="1" applyFill="1" applyBorder="1" applyAlignment="1">
      <alignment horizontal="center" vertical="center"/>
    </xf>
    <xf numFmtId="0" fontId="36" fillId="24" borderId="11" xfId="42" applyFont="1" applyFill="1" applyBorder="1" applyAlignment="1">
      <alignment horizontal="center" vertical="center"/>
    </xf>
    <xf numFmtId="0" fontId="36" fillId="24" borderId="82" xfId="40" applyFont="1" applyFill="1" applyBorder="1" applyAlignment="1">
      <alignment horizontal="left" wrapText="1"/>
    </xf>
    <xf numFmtId="0" fontId="36" fillId="24" borderId="11" xfId="40" applyFont="1" applyFill="1" applyBorder="1" applyAlignment="1">
      <alignment horizontal="left" wrapText="1"/>
    </xf>
    <xf numFmtId="0" fontId="38" fillId="24" borderId="85" xfId="40" applyFont="1" applyFill="1" applyBorder="1" applyAlignment="1">
      <alignment horizontal="left" wrapText="1"/>
    </xf>
    <xf numFmtId="0" fontId="38" fillId="24" borderId="86" xfId="40" applyFont="1" applyFill="1" applyBorder="1" applyAlignment="1">
      <alignment horizontal="left" wrapText="1"/>
    </xf>
    <xf numFmtId="0" fontId="36" fillId="24" borderId="48" xfId="42" applyFont="1" applyFill="1" applyBorder="1" applyAlignment="1">
      <alignment horizontal="center" vertical="center" wrapText="1"/>
    </xf>
    <xf numFmtId="0" fontId="35" fillId="24" borderId="46" xfId="42" applyFont="1" applyFill="1" applyBorder="1" applyAlignment="1">
      <alignment horizontal="center" vertical="center"/>
    </xf>
    <xf numFmtId="0" fontId="35" fillId="24" borderId="78" xfId="42" applyFont="1" applyFill="1" applyBorder="1" applyAlignment="1">
      <alignment horizontal="center" vertical="center"/>
    </xf>
    <xf numFmtId="0" fontId="35" fillId="24" borderId="87" xfId="42" applyFont="1" applyFill="1" applyBorder="1" applyAlignment="1">
      <alignment horizontal="center" vertical="center"/>
    </xf>
    <xf numFmtId="0" fontId="35" fillId="24" borderId="77" xfId="42" applyFont="1" applyFill="1" applyBorder="1" applyAlignment="1">
      <alignment horizontal="center" vertical="center"/>
    </xf>
    <xf numFmtId="0" fontId="35" fillId="24" borderId="79" xfId="42" applyFont="1" applyFill="1" applyBorder="1" applyAlignment="1">
      <alignment horizontal="center" vertical="center"/>
    </xf>
    <xf numFmtId="0" fontId="35" fillId="0" borderId="33" xfId="42" applyFont="1" applyBorder="1" applyAlignment="1">
      <alignment horizontal="left"/>
    </xf>
    <xf numFmtId="0" fontId="35" fillId="0" borderId="33" xfId="42" applyFont="1" applyBorder="1" applyAlignment="1">
      <alignment horizontal="left" vertical="top"/>
    </xf>
    <xf numFmtId="0" fontId="35" fillId="24" borderId="80" xfId="42" applyFont="1" applyFill="1" applyBorder="1" applyAlignment="1">
      <alignment horizontal="center" vertical="center"/>
    </xf>
    <xf numFmtId="0" fontId="35" fillId="24" borderId="81" xfId="42" applyFont="1" applyFill="1" applyBorder="1" applyAlignment="1">
      <alignment horizontal="center" vertical="center"/>
    </xf>
    <xf numFmtId="0" fontId="36" fillId="24" borderId="10" xfId="42" applyFont="1" applyFill="1" applyBorder="1" applyAlignment="1">
      <alignment horizontal="center" vertical="center" wrapText="1"/>
    </xf>
    <xf numFmtId="0" fontId="36" fillId="24" borderId="11" xfId="42" applyFont="1" applyFill="1" applyBorder="1" applyAlignment="1">
      <alignment horizontal="center" vertical="center" wrapText="1"/>
    </xf>
    <xf numFmtId="0" fontId="36" fillId="24" borderId="29" xfId="40" applyFont="1" applyFill="1" applyBorder="1" applyAlignment="1">
      <alignment horizontal="left" wrapText="1"/>
    </xf>
    <xf numFmtId="0" fontId="36" fillId="24" borderId="30" xfId="40" applyFont="1" applyFill="1" applyBorder="1" applyAlignment="1">
      <alignment horizontal="left" wrapText="1"/>
    </xf>
    <xf numFmtId="0" fontId="36" fillId="24" borderId="31" xfId="40" applyFont="1" applyFill="1" applyBorder="1" applyAlignment="1">
      <alignment horizontal="left" wrapText="1"/>
    </xf>
    <xf numFmtId="49" fontId="38" fillId="24" borderId="97" xfId="39" applyNumberFormat="1" applyFont="1" applyFill="1" applyBorder="1" applyAlignment="1">
      <alignment horizontal="left" wrapText="1"/>
    </xf>
    <xf numFmtId="49" fontId="38" fillId="24" borderId="98" xfId="39" applyNumberFormat="1" applyFont="1" applyFill="1" applyBorder="1" applyAlignment="1">
      <alignment horizontal="left" wrapText="1"/>
    </xf>
    <xf numFmtId="49" fontId="38" fillId="24" borderId="99" xfId="39" applyNumberFormat="1" applyFont="1" applyFill="1" applyBorder="1" applyAlignment="1">
      <alignment horizontal="left" wrapText="1"/>
    </xf>
    <xf numFmtId="0" fontId="36" fillId="24" borderId="92" xfId="42" applyFont="1" applyFill="1" applyBorder="1" applyAlignment="1">
      <alignment horizontal="center" vertical="center" wrapText="1"/>
    </xf>
    <xf numFmtId="0" fontId="36" fillId="24" borderId="88" xfId="42" applyFont="1" applyFill="1" applyBorder="1" applyAlignment="1">
      <alignment horizontal="center" vertical="center" wrapText="1"/>
    </xf>
    <xf numFmtId="0" fontId="36" fillId="24" borderId="89" xfId="42" applyFont="1" applyFill="1" applyBorder="1" applyAlignment="1">
      <alignment horizontal="center" vertical="center" wrapText="1"/>
    </xf>
    <xf numFmtId="0" fontId="35" fillId="24" borderId="88" xfId="40" applyFont="1" applyFill="1" applyBorder="1" applyAlignment="1">
      <alignment horizontal="center" wrapText="1"/>
    </xf>
    <xf numFmtId="0" fontId="35" fillId="24" borderId="48" xfId="40" applyFont="1" applyFill="1" applyBorder="1" applyAlignment="1">
      <alignment horizontal="center" wrapText="1"/>
    </xf>
    <xf numFmtId="0" fontId="35" fillId="24" borderId="91" xfId="40" applyFont="1" applyFill="1" applyBorder="1" applyAlignment="1">
      <alignment horizontal="center" wrapText="1"/>
    </xf>
    <xf numFmtId="0" fontId="38" fillId="24" borderId="10" xfId="40" applyFont="1" applyFill="1" applyBorder="1" applyAlignment="1">
      <alignment horizontal="center" wrapText="1"/>
    </xf>
    <xf numFmtId="0" fontId="38" fillId="24" borderId="48" xfId="40" applyFont="1" applyFill="1" applyBorder="1" applyAlignment="1">
      <alignment horizontal="center" wrapText="1"/>
    </xf>
    <xf numFmtId="0" fontId="36" fillId="27" borderId="0" xfId="41" applyFont="1" applyFill="1" applyBorder="1" applyAlignment="1">
      <alignment horizontal="left" vertical="top"/>
    </xf>
    <xf numFmtId="0" fontId="13" fillId="27" borderId="36" xfId="34" applyFill="1" applyBorder="1" applyAlignment="1">
      <alignment horizontal="right" vertical="top"/>
    </xf>
    <xf numFmtId="0" fontId="57" fillId="0" borderId="0" xfId="0" applyFont="1">
      <alignment vertical="center"/>
    </xf>
    <xf numFmtId="0" fontId="36" fillId="27" borderId="49" xfId="41" applyFont="1" applyFill="1" applyBorder="1" applyAlignment="1">
      <alignment horizontal="left" vertical="top"/>
    </xf>
    <xf numFmtId="0" fontId="35" fillId="27" borderId="32" xfId="41" applyFont="1" applyFill="1" applyBorder="1" applyAlignment="1">
      <alignment horizontal="center" vertical="top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Functional Test Case v1.0" xfId="38" xr:uid="{00000000-0005-0000-0000-000026000000}"/>
    <cellStyle name="Normal_Sheet1" xfId="39" xr:uid="{00000000-0005-0000-0000-000027000000}"/>
    <cellStyle name="Normal_Sheet1_Template_UnitTest Case_v0.9" xfId="40" xr:uid="{00000000-0005-0000-0000-000028000000}"/>
    <cellStyle name="Normal_Template_UnitTest Case_v0.9" xfId="41" xr:uid="{00000000-0005-0000-0000-000029000000}"/>
    <cellStyle name="Normal_Template_UnitTest Case_v0.9_Template_UnitTest Case_v0.9" xfId="42" xr:uid="{00000000-0005-0000-0000-00002A000000}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  <cellStyle name="標準_結合試験(AllOvertheWorld)" xfId="48" xr:uid="{00000000-0005-0000-0000-00003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GB"/>
              <a:t>Test Type</a:t>
            </a:r>
          </a:p>
        </c:rich>
      </c:tx>
      <c:layout>
        <c:manualLayout>
          <c:xMode val="edge"/>
          <c:yMode val="edge"/>
          <c:x val="0.41836742474229827"/>
          <c:y val="3.90625386486375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532-D34B-A023-B2722462989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532-D34B-A023-B2722462989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532-D34B-A023-B27224629894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29</c:v>
                </c:pt>
                <c:pt idx="1">
                  <c:v>12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32-D34B-A023-B2722462989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F532-D34B-A023-B2722462989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F532-D34B-A023-B2722462989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F532-D34B-A023-B2722462989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Statistics!$F$16:$H$16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F532-D34B-A023-B27224629894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F532-D34B-A023-B2722462989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F532-D34B-A023-B2722462989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F532-D34B-A023-B2722462989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532-D34B-A023-B27224629894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F532-D34B-A023-B2722462989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F532-D34B-A023-B2722462989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F532-D34B-A023-B2722462989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532-D34B-A023-B27224629894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F532-D34B-A023-B2722462989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F532-D34B-A023-B2722462989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F532-D34B-A023-B2722462989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29</c:v>
                </c:pt>
                <c:pt idx="1">
                  <c:v>12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532-D34B-A023-B27224629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207309430198004"/>
          <c:y val="0.39286928520251102"/>
          <c:w val="8.532692492574255E-2"/>
          <c:h val="0.316336307565658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GB"/>
              <a:t>Passed Percent</a:t>
            </a:r>
          </a:p>
        </c:rich>
      </c:tx>
      <c:layout>
        <c:manualLayout>
          <c:xMode val="edge"/>
          <c:yMode val="edge"/>
          <c:x val="0.3654710302905948"/>
          <c:y val="3.95258837326185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8B7-7B4B-AE37-CB9588221011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B7-7B4B-AE37-CB958822101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8B7-7B4B-AE37-CB958822101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39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B7-7B4B-AE37-CB958822101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C8B7-7B4B-AE37-CB958822101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C8B7-7B4B-AE37-CB958822101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C8B7-7B4B-AE37-CB958822101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Statistics!$C$16:$E$16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C8B7-7B4B-AE37-CB9588221011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C8B7-7B4B-AE37-CB958822101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C8B7-7B4B-AE37-CB958822101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C8B7-7B4B-AE37-CB958822101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8B7-7B4B-AE37-CB9588221011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C8B7-7B4B-AE37-CB958822101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C8B7-7B4B-AE37-CB958822101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C8B7-7B4B-AE37-CB958822101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8B7-7B4B-AE37-CB9588221011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C8B7-7B4B-AE37-CB9588221011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8B7-7B4B-AE37-CB958822101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C8B7-7B4B-AE37-CB958822101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39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8B7-7B4B-AE37-CB9588221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211349169677824"/>
          <c:y val="0.42488450770594316"/>
          <c:w val="0.19105062392593056"/>
          <c:h val="0.300528066426154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2133600</xdr:colOff>
      <xdr:row>1</xdr:row>
      <xdr:rowOff>787400</xdr:rowOff>
    </xdr:to>
    <xdr:pic>
      <xdr:nvPicPr>
        <xdr:cNvPr id="1065" name="Picture 1">
          <a:extLst>
            <a:ext uri="{FF2B5EF4-FFF2-40B4-BE49-F238E27FC236}">
              <a16:creationId xmlns:a16="http://schemas.microsoft.com/office/drawing/2014/main" id="{39BE8D1B-34E1-16B1-1365-AFAA0F7C7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546100</xdr:colOff>
      <xdr:row>24</xdr:row>
      <xdr:rowOff>0</xdr:rowOff>
    </xdr:from>
    <xdr:to>
      <xdr:col>9</xdr:col>
      <xdr:colOff>0</xdr:colOff>
      <xdr:row>39</xdr:row>
      <xdr:rowOff>12700</xdr:rowOff>
    </xdr:to>
    <xdr:graphicFrame macro="">
      <xdr:nvGraphicFramePr>
        <xdr:cNvPr id="2127" name="Chart 16">
          <a:extLst>
            <a:ext uri="{FF2B5EF4-FFF2-40B4-BE49-F238E27FC236}">
              <a16:creationId xmlns:a16="http://schemas.microsoft.com/office/drawing/2014/main" id="{FBA85DA1-B639-BE2D-B6EF-613201D82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24</xdr:row>
      <xdr:rowOff>25400</xdr:rowOff>
    </xdr:from>
    <xdr:to>
      <xdr:col>3</xdr:col>
      <xdr:colOff>241300</xdr:colOff>
      <xdr:row>39</xdr:row>
      <xdr:rowOff>0</xdr:rowOff>
    </xdr:to>
    <xdr:graphicFrame macro="">
      <xdr:nvGraphicFramePr>
        <xdr:cNvPr id="2128" name="Chart 17">
          <a:extLst>
            <a:ext uri="{FF2B5EF4-FFF2-40B4-BE49-F238E27FC236}">
              <a16:creationId xmlns:a16="http://schemas.microsoft.com/office/drawing/2014/main" id="{8329744B-6D7E-F403-89EB-2B86ACCE1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mailto:carol@domain.com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mailto:alice@mail.com" TargetMode="External"/><Relationship Id="rId1" Type="http://schemas.openxmlformats.org/officeDocument/2006/relationships/hyperlink" Target="mailto:john@example.com" TargetMode="External"/><Relationship Id="rId6" Type="http://schemas.openxmlformats.org/officeDocument/2006/relationships/hyperlink" Target="mailto:bop@home.com" TargetMode="External"/><Relationship Id="rId5" Type="http://schemas.openxmlformats.org/officeDocument/2006/relationships/hyperlink" Target="mailto:test@mail.com" TargetMode="External"/><Relationship Id="rId4" Type="http://schemas.openxmlformats.org/officeDocument/2006/relationships/hyperlink" Target="mailto:dattran@fpt.edu.vn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opLeftCell="A14" zoomScale="127" zoomScaleNormal="85" workbookViewId="0"/>
  </sheetViews>
  <sheetFormatPr baseColWidth="10" defaultColWidth="9" defaultRowHeight="14"/>
  <cols>
    <col min="1" max="1" width="119.33203125" style="159" customWidth="1"/>
    <col min="2" max="16384" width="9" style="159"/>
  </cols>
  <sheetData>
    <row r="1" spans="1:1" s="156" customFormat="1" ht="23">
      <c r="A1" s="155" t="s">
        <v>125</v>
      </c>
    </row>
    <row r="2" spans="1:1" s="156" customFormat="1" ht="23">
      <c r="A2" s="155"/>
    </row>
    <row r="3" spans="1:1" s="157" customFormat="1" ht="18">
      <c r="A3" s="160" t="s">
        <v>153</v>
      </c>
    </row>
    <row r="4" spans="1:1" ht="15" customHeight="1">
      <c r="A4" s="163" t="s">
        <v>123</v>
      </c>
    </row>
    <row r="5" spans="1:1" ht="15" customHeight="1">
      <c r="A5" s="163" t="s">
        <v>158</v>
      </c>
    </row>
    <row r="6" spans="1:1" ht="42">
      <c r="A6" s="164" t="s">
        <v>173</v>
      </c>
    </row>
    <row r="7" spans="1:1" ht="29.25" customHeight="1">
      <c r="A7" s="164" t="s">
        <v>176</v>
      </c>
    </row>
    <row r="8" spans="1:1" ht="30" customHeight="1">
      <c r="A8" s="165" t="s">
        <v>160</v>
      </c>
    </row>
    <row r="9" spans="1:1" s="168" customFormat="1" ht="16.5" customHeight="1">
      <c r="A9" s="167" t="s">
        <v>174</v>
      </c>
    </row>
    <row r="10" spans="1:1" ht="16.5" customHeight="1">
      <c r="A10" s="158"/>
    </row>
    <row r="11" spans="1:1" s="157" customFormat="1" ht="18">
      <c r="A11" s="160" t="s">
        <v>124</v>
      </c>
    </row>
    <row r="12" spans="1:1" s="161" customFormat="1" ht="15">
      <c r="A12" s="166" t="s">
        <v>96</v>
      </c>
    </row>
    <row r="13" spans="1:1" ht="28">
      <c r="A13" s="163" t="s">
        <v>161</v>
      </c>
    </row>
    <row r="14" spans="1:1">
      <c r="A14" s="163" t="s">
        <v>162</v>
      </c>
    </row>
    <row r="15" spans="1:1">
      <c r="A15" s="164" t="s">
        <v>163</v>
      </c>
    </row>
    <row r="16" spans="1:1">
      <c r="A16" s="158"/>
    </row>
    <row r="17" spans="1:4" s="161" customFormat="1" ht="15">
      <c r="A17" s="166" t="s">
        <v>127</v>
      </c>
    </row>
    <row r="18" spans="1:4">
      <c r="A18" s="163" t="s">
        <v>128</v>
      </c>
      <c r="B18" s="158"/>
    </row>
    <row r="19" spans="1:4">
      <c r="A19" s="166" t="s">
        <v>164</v>
      </c>
    </row>
    <row r="20" spans="1:4">
      <c r="A20" s="163" t="s">
        <v>129</v>
      </c>
      <c r="B20" s="158"/>
    </row>
    <row r="21" spans="1:4" ht="28">
      <c r="A21" s="164" t="s">
        <v>130</v>
      </c>
    </row>
    <row r="22" spans="1:4">
      <c r="A22" s="163" t="s">
        <v>131</v>
      </c>
      <c r="B22" s="162"/>
    </row>
    <row r="23" spans="1:4">
      <c r="A23" s="163" t="s">
        <v>132</v>
      </c>
      <c r="B23" s="158"/>
    </row>
    <row r="24" spans="1:4">
      <c r="A24" s="163" t="s">
        <v>177</v>
      </c>
      <c r="B24" s="158"/>
    </row>
    <row r="25" spans="1:4" ht="15">
      <c r="A25" s="163" t="s">
        <v>133</v>
      </c>
      <c r="B25" s="158"/>
      <c r="C25" s="158" t="s">
        <v>92</v>
      </c>
      <c r="D25" s="158" t="s">
        <v>92</v>
      </c>
    </row>
    <row r="26" spans="1:4">
      <c r="A26" s="163" t="s">
        <v>93</v>
      </c>
    </row>
    <row r="27" spans="1:4">
      <c r="A27" s="163" t="s">
        <v>154</v>
      </c>
      <c r="B27" s="158"/>
    </row>
    <row r="28" spans="1:4">
      <c r="A28" s="163" t="s">
        <v>155</v>
      </c>
    </row>
    <row r="29" spans="1:4">
      <c r="A29" s="163" t="s">
        <v>156</v>
      </c>
    </row>
    <row r="30" spans="1:4" ht="15">
      <c r="A30" s="163" t="s">
        <v>157</v>
      </c>
      <c r="B30" s="158"/>
      <c r="C30" s="158" t="s">
        <v>92</v>
      </c>
    </row>
    <row r="31" spans="1:4">
      <c r="A31" s="166" t="s">
        <v>165</v>
      </c>
    </row>
    <row r="32" spans="1:4" ht="30" customHeight="1">
      <c r="A32" s="164" t="s">
        <v>134</v>
      </c>
    </row>
    <row r="33" spans="1:2">
      <c r="A33" s="163" t="s">
        <v>94</v>
      </c>
    </row>
    <row r="34" spans="1:2">
      <c r="A34" s="163" t="s">
        <v>135</v>
      </c>
    </row>
    <row r="35" spans="1:2">
      <c r="A35" s="163" t="s">
        <v>136</v>
      </c>
      <c r="B35" s="158"/>
    </row>
    <row r="36" spans="1:2">
      <c r="A36" s="163" t="s">
        <v>137</v>
      </c>
      <c r="B36" s="158"/>
    </row>
    <row r="37" spans="1:2">
      <c r="A37" s="166" t="s">
        <v>166</v>
      </c>
    </row>
    <row r="38" spans="1:2">
      <c r="A38" s="163" t="s">
        <v>138</v>
      </c>
    </row>
    <row r="39" spans="1:2" ht="42">
      <c r="A39" s="165" t="s">
        <v>159</v>
      </c>
      <c r="B39" s="158"/>
    </row>
    <row r="40" spans="1:2">
      <c r="A40" s="165"/>
      <c r="B40" s="158"/>
    </row>
    <row r="41" spans="1:2" s="161" customFormat="1" ht="15">
      <c r="A41" s="166" t="s">
        <v>139</v>
      </c>
    </row>
    <row r="42" spans="1:2">
      <c r="A42" s="163" t="s">
        <v>167</v>
      </c>
    </row>
    <row r="43" spans="1:2">
      <c r="A43" s="163" t="s">
        <v>168</v>
      </c>
    </row>
    <row r="44" spans="1:2">
      <c r="A44" s="163" t="s">
        <v>169</v>
      </c>
    </row>
    <row r="45" spans="1:2">
      <c r="A45" s="163" t="s">
        <v>170</v>
      </c>
    </row>
    <row r="46" spans="1:2">
      <c r="A46" s="163" t="s">
        <v>171</v>
      </c>
    </row>
    <row r="47" spans="1:2">
      <c r="A47" s="163" t="s">
        <v>172</v>
      </c>
    </row>
    <row r="48" spans="1:2" ht="15">
      <c r="A48" s="158" t="s">
        <v>95</v>
      </c>
    </row>
    <row r="49" spans="1:1">
      <c r="A49" s="158"/>
    </row>
  </sheetData>
  <phoneticPr fontId="44"/>
  <pageMargins left="0.75" right="0.75" top="0.7" bottom="0.6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7"/>
  <sheetViews>
    <sheetView showGridLines="0" workbookViewId="0">
      <selection activeCell="E22" sqref="E22"/>
    </sheetView>
  </sheetViews>
  <sheetFormatPr baseColWidth="10" defaultColWidth="9" defaultRowHeight="13"/>
  <cols>
    <col min="1" max="1" width="28.1640625" style="24" customWidth="1"/>
    <col min="2" max="2" width="10" style="3" customWidth="1"/>
    <col min="3" max="3" width="14.33203125" style="3" customWidth="1"/>
    <col min="4" max="4" width="8" style="3" customWidth="1"/>
    <col min="5" max="5" width="38" style="3" customWidth="1"/>
    <col min="6" max="6" width="48.1640625" style="3" customWidth="1"/>
    <col min="7" max="16384" width="9" style="3"/>
  </cols>
  <sheetData>
    <row r="2" spans="1:6" s="2" customFormat="1" ht="75.75" customHeight="1">
      <c r="A2" s="1"/>
      <c r="B2" s="311" t="s">
        <v>180</v>
      </c>
      <c r="C2" s="311"/>
      <c r="D2" s="311"/>
      <c r="E2" s="311"/>
      <c r="F2" s="311"/>
    </row>
    <row r="3" spans="1:6">
      <c r="A3" s="4"/>
      <c r="B3" s="5"/>
      <c r="E3" s="6"/>
    </row>
    <row r="4" spans="1:6" ht="14.25" customHeight="1">
      <c r="A4" s="169" t="s">
        <v>0</v>
      </c>
      <c r="B4" s="312" t="s">
        <v>1</v>
      </c>
      <c r="C4" s="312"/>
      <c r="D4" s="312"/>
      <c r="E4" s="169" t="s">
        <v>2</v>
      </c>
      <c r="F4" s="7"/>
    </row>
    <row r="5" spans="1:6" ht="14.25" customHeight="1">
      <c r="A5" s="169" t="s">
        <v>3</v>
      </c>
      <c r="B5" s="312" t="s">
        <v>4</v>
      </c>
      <c r="C5" s="312"/>
      <c r="D5" s="312"/>
      <c r="E5" s="169" t="s">
        <v>7</v>
      </c>
      <c r="F5" s="149" t="s">
        <v>8</v>
      </c>
    </row>
    <row r="6" spans="1:6" ht="15.75" customHeight="1">
      <c r="A6" s="190" t="s">
        <v>6</v>
      </c>
      <c r="B6" s="313" t="str">
        <f>B5&amp;"_"&amp;"XXX"&amp;"_"&amp;"vx.x"</f>
        <v>&lt;Project Code&gt;_XXX_vx.x</v>
      </c>
      <c r="C6" s="314"/>
      <c r="D6" s="315"/>
      <c r="E6" s="169" t="s">
        <v>9</v>
      </c>
      <c r="F6" s="150"/>
    </row>
    <row r="7" spans="1:6">
      <c r="A7" s="170"/>
      <c r="B7" s="8"/>
      <c r="E7" s="9"/>
      <c r="F7" s="5"/>
    </row>
    <row r="8" spans="1:6">
      <c r="A8" s="3"/>
    </row>
    <row r="9" spans="1:6">
      <c r="A9" s="171" t="s">
        <v>10</v>
      </c>
    </row>
    <row r="10" spans="1:6" s="10" customFormat="1">
      <c r="A10" s="11" t="s">
        <v>11</v>
      </c>
      <c r="B10" s="12" t="s">
        <v>9</v>
      </c>
      <c r="C10" s="12" t="s">
        <v>12</v>
      </c>
      <c r="D10" s="12" t="s">
        <v>13</v>
      </c>
      <c r="E10" s="12" t="s">
        <v>14</v>
      </c>
      <c r="F10" s="13" t="s">
        <v>15</v>
      </c>
    </row>
    <row r="11" spans="1:6" s="14" customFormat="1" ht="26.25" customHeight="1">
      <c r="A11" s="151" t="s">
        <v>16</v>
      </c>
      <c r="B11" s="15"/>
      <c r="C11" s="16"/>
      <c r="D11" s="16"/>
      <c r="E11" s="17"/>
      <c r="F11" s="152" t="s">
        <v>17</v>
      </c>
    </row>
    <row r="12" spans="1:6" s="14" customFormat="1" ht="21.75" customHeight="1">
      <c r="A12" s="18"/>
      <c r="B12" s="15"/>
      <c r="C12" s="16"/>
      <c r="D12" s="16"/>
      <c r="E12" s="16"/>
      <c r="F12" s="19"/>
    </row>
    <row r="13" spans="1:6" s="14" customFormat="1" ht="19.5" customHeight="1">
      <c r="A13" s="18"/>
      <c r="B13" s="15"/>
      <c r="C13" s="16"/>
      <c r="D13" s="16"/>
      <c r="E13" s="16"/>
      <c r="F13" s="19"/>
    </row>
    <row r="14" spans="1:6" s="14" customFormat="1" ht="21.75" customHeight="1">
      <c r="A14" s="18"/>
      <c r="B14" s="15"/>
      <c r="C14" s="16"/>
      <c r="D14" s="16"/>
      <c r="E14" s="16"/>
      <c r="F14" s="19"/>
    </row>
    <row r="15" spans="1:6" s="14" customFormat="1" ht="19.5" customHeight="1">
      <c r="A15" s="18"/>
      <c r="B15" s="15"/>
      <c r="C15" s="16"/>
      <c r="D15" s="16"/>
      <c r="E15" s="16"/>
      <c r="F15" s="19"/>
    </row>
    <row r="16" spans="1:6" s="14" customFormat="1" ht="21.75" customHeight="1">
      <c r="A16" s="18"/>
      <c r="B16" s="15"/>
      <c r="C16" s="16"/>
      <c r="D16" s="16"/>
      <c r="E16" s="16"/>
      <c r="F16" s="19"/>
    </row>
    <row r="17" spans="1:6" s="14" customFormat="1" ht="19.5" customHeight="1">
      <c r="A17" s="20"/>
      <c r="B17" s="21"/>
      <c r="C17" s="22"/>
      <c r="D17" s="22"/>
      <c r="E17" s="22"/>
      <c r="F17" s="23"/>
    </row>
  </sheetData>
  <mergeCells count="4">
    <mergeCell ref="B2:F2"/>
    <mergeCell ref="B4:D4"/>
    <mergeCell ref="B5:D5"/>
    <mergeCell ref="B6:D6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zoomScaleNormal="100" workbookViewId="0">
      <selection activeCell="E3" sqref="E3"/>
    </sheetView>
  </sheetViews>
  <sheetFormatPr baseColWidth="10" defaultColWidth="9" defaultRowHeight="13"/>
  <cols>
    <col min="1" max="1" width="7.1640625" style="56" customWidth="1"/>
    <col min="2" max="2" width="14.83203125" style="56" customWidth="1"/>
    <col min="3" max="3" width="9.83203125" style="56" bestFit="1" customWidth="1"/>
    <col min="4" max="4" width="12.33203125" style="26" bestFit="1" customWidth="1"/>
    <col min="5" max="5" width="21" style="27" customWidth="1"/>
    <col min="6" max="6" width="12.33203125" style="26" customWidth="1"/>
    <col min="7" max="7" width="41.83203125" style="26" customWidth="1"/>
    <col min="8" max="8" width="51.33203125" style="26" customWidth="1"/>
    <col min="9" max="16384" width="9" style="6"/>
  </cols>
  <sheetData>
    <row r="2" spans="1:8" ht="25">
      <c r="A2" s="25"/>
      <c r="B2" s="25"/>
      <c r="C2" s="25"/>
      <c r="E2" s="28" t="s">
        <v>179</v>
      </c>
      <c r="F2" s="28"/>
      <c r="G2" s="29"/>
    </row>
    <row r="3" spans="1:8" ht="13.5" customHeight="1">
      <c r="A3" s="25"/>
      <c r="B3" s="25"/>
      <c r="C3" s="25"/>
      <c r="F3" s="30"/>
      <c r="G3" s="30"/>
    </row>
    <row r="4" spans="1:8" ht="14.25" customHeight="1">
      <c r="A4" s="317" t="s">
        <v>0</v>
      </c>
      <c r="B4" s="317"/>
      <c r="C4" s="317"/>
      <c r="D4" s="317"/>
      <c r="E4" s="318" t="str">
        <f>Cover!B4</f>
        <v>&lt;Project Name&gt;</v>
      </c>
      <c r="F4" s="319"/>
      <c r="G4" s="319"/>
      <c r="H4" s="320"/>
    </row>
    <row r="5" spans="1:8" ht="14.25" customHeight="1">
      <c r="A5" s="317" t="s">
        <v>3</v>
      </c>
      <c r="B5" s="317"/>
      <c r="C5" s="317"/>
      <c r="D5" s="317"/>
      <c r="E5" s="318" t="str">
        <f>Cover!B5</f>
        <v>&lt;Project Code&gt;</v>
      </c>
      <c r="F5" s="319"/>
      <c r="G5" s="319"/>
      <c r="H5" s="320"/>
    </row>
    <row r="6" spans="1:8" ht="14.25" customHeight="1">
      <c r="A6" s="324" t="s">
        <v>126</v>
      </c>
      <c r="B6" s="325"/>
      <c r="C6" s="325"/>
      <c r="D6" s="326"/>
      <c r="E6" s="187">
        <v>100</v>
      </c>
      <c r="F6" s="188"/>
      <c r="G6" s="188"/>
      <c r="H6" s="189"/>
    </row>
    <row r="7" spans="1:8" s="31" customFormat="1" ht="12.75" customHeight="1">
      <c r="A7" s="316" t="s">
        <v>18</v>
      </c>
      <c r="B7" s="316"/>
      <c r="C7" s="316"/>
      <c r="D7" s="316"/>
      <c r="E7" s="321" t="s">
        <v>19</v>
      </c>
      <c r="F7" s="322"/>
      <c r="G7" s="322"/>
      <c r="H7" s="323"/>
    </row>
    <row r="8" spans="1:8">
      <c r="A8" s="32"/>
      <c r="B8" s="32"/>
      <c r="C8" s="32"/>
      <c r="D8" s="6"/>
      <c r="E8" s="31"/>
      <c r="F8" s="6"/>
      <c r="G8" s="6"/>
      <c r="H8" s="6"/>
    </row>
    <row r="9" spans="1:8" s="36" customFormat="1">
      <c r="A9" s="33"/>
      <c r="B9" s="33"/>
      <c r="C9" s="33"/>
      <c r="D9" s="34"/>
      <c r="E9" s="35"/>
      <c r="F9" s="34"/>
      <c r="G9" s="34"/>
      <c r="H9" s="34"/>
    </row>
    <row r="10" spans="1:8" s="44" customFormat="1" ht="24" customHeight="1">
      <c r="A10" s="37" t="s">
        <v>20</v>
      </c>
      <c r="B10" s="38" t="s">
        <v>21</v>
      </c>
      <c r="C10" s="39" t="s">
        <v>22</v>
      </c>
      <c r="D10" s="40" t="s">
        <v>23</v>
      </c>
      <c r="E10" s="41" t="s">
        <v>151</v>
      </c>
      <c r="F10" s="40" t="s">
        <v>24</v>
      </c>
      <c r="G10" s="42" t="s">
        <v>25</v>
      </c>
      <c r="H10" s="43" t="s">
        <v>26</v>
      </c>
    </row>
    <row r="11" spans="1:8" ht="14">
      <c r="A11" s="153">
        <v>1</v>
      </c>
      <c r="B11" s="45"/>
      <c r="C11" s="45" t="s">
        <v>27</v>
      </c>
      <c r="D11" s="46" t="s">
        <v>28</v>
      </c>
      <c r="E11" s="47" t="s">
        <v>152</v>
      </c>
      <c r="F11" s="48" t="s">
        <v>152</v>
      </c>
      <c r="G11" s="48"/>
      <c r="H11" s="49"/>
    </row>
    <row r="12" spans="1:8" ht="14">
      <c r="A12" s="153">
        <v>2</v>
      </c>
      <c r="B12" s="45"/>
      <c r="C12" s="45" t="s">
        <v>119</v>
      </c>
      <c r="D12" s="46" t="s">
        <v>29</v>
      </c>
      <c r="E12" s="47" t="s">
        <v>30</v>
      </c>
      <c r="F12" s="48" t="s">
        <v>30</v>
      </c>
      <c r="G12" s="48"/>
      <c r="H12" s="49"/>
    </row>
    <row r="13" spans="1:8" ht="14">
      <c r="A13" s="153">
        <v>3</v>
      </c>
      <c r="B13" s="45"/>
      <c r="C13" s="45" t="s">
        <v>120</v>
      </c>
      <c r="D13" s="46" t="s">
        <v>121</v>
      </c>
      <c r="E13" s="47" t="s">
        <v>122</v>
      </c>
      <c r="F13" s="48" t="s">
        <v>122</v>
      </c>
      <c r="G13" s="48"/>
      <c r="H13" s="49"/>
    </row>
    <row r="14" spans="1:8">
      <c r="A14" s="153"/>
      <c r="B14" s="45"/>
      <c r="C14" s="45"/>
      <c r="D14" s="46"/>
      <c r="E14" s="47"/>
      <c r="F14" s="48"/>
      <c r="G14" s="48"/>
      <c r="H14" s="49"/>
    </row>
    <row r="15" spans="1:8">
      <c r="A15" s="153"/>
      <c r="B15" s="45"/>
      <c r="C15" s="45"/>
      <c r="D15" s="46"/>
      <c r="E15" s="47"/>
      <c r="F15" s="48"/>
      <c r="G15" s="48"/>
      <c r="H15" s="49"/>
    </row>
    <row r="16" spans="1:8">
      <c r="A16" s="153"/>
      <c r="B16" s="45"/>
      <c r="C16" s="45"/>
      <c r="D16" s="46"/>
      <c r="E16" s="47"/>
      <c r="F16" s="50"/>
      <c r="G16" s="50"/>
      <c r="H16" s="49"/>
    </row>
    <row r="17" spans="1:8">
      <c r="A17" s="153"/>
      <c r="B17" s="45"/>
      <c r="C17" s="45"/>
      <c r="D17" s="46"/>
      <c r="E17" s="47"/>
      <c r="F17" s="50"/>
      <c r="G17" s="50"/>
      <c r="H17" s="49"/>
    </row>
    <row r="18" spans="1:8">
      <c r="A18" s="153"/>
      <c r="B18" s="45"/>
      <c r="C18" s="45"/>
      <c r="D18" s="46"/>
      <c r="E18" s="47"/>
      <c r="F18" s="50"/>
      <c r="G18" s="50"/>
      <c r="H18" s="49"/>
    </row>
    <row r="19" spans="1:8">
      <c r="A19" s="153"/>
      <c r="B19" s="45"/>
      <c r="C19" s="45"/>
      <c r="D19" s="46"/>
      <c r="E19" s="47"/>
      <c r="F19" s="50"/>
      <c r="G19" s="50"/>
      <c r="H19" s="49"/>
    </row>
    <row r="20" spans="1:8">
      <c r="A20" s="153"/>
      <c r="B20" s="45"/>
      <c r="C20" s="45"/>
      <c r="D20" s="46"/>
      <c r="E20" s="47"/>
      <c r="F20" s="50"/>
      <c r="G20" s="50"/>
      <c r="H20" s="49"/>
    </row>
    <row r="21" spans="1:8">
      <c r="A21" s="153"/>
      <c r="B21" s="45"/>
      <c r="C21" s="45"/>
      <c r="D21" s="46"/>
      <c r="E21" s="47"/>
      <c r="F21" s="50"/>
      <c r="G21" s="50"/>
      <c r="H21" s="49"/>
    </row>
    <row r="22" spans="1:8">
      <c r="A22" s="153"/>
      <c r="B22" s="45"/>
      <c r="C22" s="45"/>
      <c r="D22" s="46"/>
      <c r="E22" s="47"/>
      <c r="F22" s="50"/>
      <c r="G22" s="50"/>
      <c r="H22" s="49"/>
    </row>
    <row r="23" spans="1:8">
      <c r="A23" s="154"/>
      <c r="B23" s="51"/>
      <c r="C23" s="51"/>
      <c r="D23" s="52"/>
      <c r="E23" s="53"/>
      <c r="F23" s="54"/>
      <c r="G23" s="54"/>
      <c r="H23" s="55"/>
    </row>
  </sheetData>
  <mergeCells count="7">
    <mergeCell ref="A7:D7"/>
    <mergeCell ref="A4:D4"/>
    <mergeCell ref="A5:D5"/>
    <mergeCell ref="E4:H4"/>
    <mergeCell ref="E5:H5"/>
    <mergeCell ref="E7:H7"/>
    <mergeCell ref="A6:D6"/>
  </mergeCells>
  <phoneticPr fontId="0" type="noConversion"/>
  <hyperlinks>
    <hyperlink ref="F11" location="Function1!A1" display="Function1" xr:uid="{00000000-0004-0000-0200-000000000000}"/>
    <hyperlink ref="F12" location="Function2!A1" display="Function2" xr:uid="{00000000-0004-0000-0200-000001000000}"/>
    <hyperlink ref="F13" location="Function3!A1" display="Function3" xr:uid="{00000000-0004-0000-0200-000002000000}"/>
  </hyperlinks>
  <pageMargins left="0.65" right="0.65" top="0.75" bottom="0.75" header="0.5" footer="0.5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23"/>
  <sheetViews>
    <sheetView topLeftCell="A25" zoomScale="146" zoomScaleNormal="169" workbookViewId="0">
      <selection activeCell="D12" sqref="D12"/>
    </sheetView>
  </sheetViews>
  <sheetFormatPr baseColWidth="10" defaultColWidth="9" defaultRowHeight="13"/>
  <cols>
    <col min="1" max="1" width="15.33203125" style="6" customWidth="1"/>
    <col min="2" max="2" width="26.6640625" style="6" customWidth="1"/>
    <col min="3" max="3" width="12.1640625" style="6" customWidth="1"/>
    <col min="4" max="4" width="9.6640625" style="6" customWidth="1"/>
    <col min="5" max="5" width="9.83203125" style="6" customWidth="1"/>
    <col min="6" max="8" width="5.1640625" style="6" customWidth="1"/>
    <col min="9" max="9" width="21" style="6" customWidth="1"/>
    <col min="10" max="10" width="33.1640625" style="6" customWidth="1"/>
    <col min="11" max="16384" width="9" style="6"/>
  </cols>
  <sheetData>
    <row r="2" spans="1:9" ht="25.5" customHeight="1">
      <c r="A2" s="333" t="s">
        <v>31</v>
      </c>
      <c r="B2" s="333"/>
      <c r="C2" s="333"/>
      <c r="D2" s="333"/>
      <c r="E2" s="333"/>
      <c r="F2" s="333"/>
      <c r="G2" s="333"/>
      <c r="H2" s="333"/>
      <c r="I2" s="333"/>
    </row>
    <row r="3" spans="1:9" ht="14.25" customHeight="1">
      <c r="A3" s="57"/>
      <c r="B3" s="58"/>
      <c r="C3" s="58"/>
      <c r="D3" s="58"/>
      <c r="E3" s="58"/>
      <c r="F3" s="58"/>
      <c r="G3" s="58"/>
      <c r="H3" s="58"/>
      <c r="I3" s="59"/>
    </row>
    <row r="4" spans="1:9" ht="13.5" customHeight="1">
      <c r="A4" s="186" t="s">
        <v>0</v>
      </c>
      <c r="B4" s="330" t="str">
        <f>Cover!B4</f>
        <v>&lt;Project Name&gt;</v>
      </c>
      <c r="C4" s="330"/>
      <c r="D4" s="331" t="s">
        <v>2</v>
      </c>
      <c r="E4" s="331"/>
      <c r="F4" s="334"/>
      <c r="G4" s="335"/>
      <c r="H4" s="335"/>
      <c r="I4" s="336"/>
    </row>
    <row r="5" spans="1:9" ht="13.5" customHeight="1">
      <c r="A5" s="186" t="s">
        <v>3</v>
      </c>
      <c r="B5" s="330" t="str">
        <f>Cover!B5</f>
        <v>&lt;Project Code&gt;</v>
      </c>
      <c r="C5" s="330"/>
      <c r="D5" s="331" t="s">
        <v>5</v>
      </c>
      <c r="E5" s="331"/>
      <c r="F5" s="334"/>
      <c r="G5" s="335"/>
      <c r="H5" s="335"/>
      <c r="I5" s="336"/>
    </row>
    <row r="6" spans="1:9" ht="12.75" customHeight="1">
      <c r="A6" s="190" t="s">
        <v>6</v>
      </c>
      <c r="B6" s="330" t="str">
        <f>B5&amp;"_"&amp;"Test Report"&amp;"_"&amp;"vx.x"</f>
        <v>&lt;Project Code&gt;_Test Report_vx.x</v>
      </c>
      <c r="C6" s="330"/>
      <c r="D6" s="331" t="s">
        <v>7</v>
      </c>
      <c r="E6" s="331"/>
      <c r="F6" s="327" t="s">
        <v>8</v>
      </c>
      <c r="G6" s="328"/>
      <c r="H6" s="328"/>
      <c r="I6" s="329"/>
    </row>
    <row r="7" spans="1:9" ht="15.75" customHeight="1">
      <c r="A7" s="190" t="s">
        <v>32</v>
      </c>
      <c r="B7" s="332" t="s">
        <v>33</v>
      </c>
      <c r="C7" s="332"/>
      <c r="D7" s="332"/>
      <c r="E7" s="332"/>
      <c r="F7" s="332"/>
      <c r="G7" s="332"/>
      <c r="H7" s="332"/>
      <c r="I7" s="332"/>
    </row>
    <row r="8" spans="1:9" ht="14.25" customHeight="1">
      <c r="A8" s="60"/>
      <c r="B8" s="61"/>
      <c r="C8" s="58"/>
      <c r="D8" s="58"/>
      <c r="E8" s="58"/>
      <c r="F8" s="58"/>
      <c r="G8" s="58"/>
      <c r="H8" s="58"/>
      <c r="I8" s="59"/>
    </row>
    <row r="9" spans="1:9">
      <c r="A9" s="60"/>
      <c r="B9" s="61"/>
      <c r="C9" s="58"/>
      <c r="D9" s="58"/>
      <c r="E9" s="58"/>
      <c r="F9" s="58"/>
      <c r="G9" s="58"/>
      <c r="H9" s="58"/>
      <c r="I9" s="59"/>
    </row>
    <row r="11" spans="1:9" ht="14.25" customHeight="1">
      <c r="A11" s="62" t="s">
        <v>20</v>
      </c>
      <c r="B11" s="63" t="s">
        <v>175</v>
      </c>
      <c r="C11" s="64" t="s">
        <v>34</v>
      </c>
      <c r="D11" s="63" t="s">
        <v>35</v>
      </c>
      <c r="E11" s="65" t="s">
        <v>36</v>
      </c>
      <c r="F11" s="65" t="s">
        <v>70</v>
      </c>
      <c r="G11" s="65" t="s">
        <v>72</v>
      </c>
      <c r="H11" s="65" t="s">
        <v>71</v>
      </c>
      <c r="I11" s="66" t="s">
        <v>37</v>
      </c>
    </row>
    <row r="12" spans="1:9">
      <c r="A12" s="67">
        <v>1</v>
      </c>
      <c r="B12" s="174" t="s">
        <v>152</v>
      </c>
      <c r="C12" s="68">
        <f>'Function 1'!A7</f>
        <v>15</v>
      </c>
      <c r="D12" s="68">
        <f>'Function 1'!C7</f>
        <v>0</v>
      </c>
      <c r="E12" s="68">
        <f>'Function 1'!F7</f>
        <v>0</v>
      </c>
      <c r="F12" s="69">
        <f>'Function 1'!L7</f>
        <v>5</v>
      </c>
      <c r="G12" s="68">
        <f>'Function 1'!M7</f>
        <v>8</v>
      </c>
      <c r="H12" s="68">
        <f>'Function 1'!N7</f>
        <v>2</v>
      </c>
      <c r="I12" s="68">
        <f>'Function 1'!O7</f>
        <v>15</v>
      </c>
    </row>
    <row r="13" spans="1:9">
      <c r="A13" s="67">
        <v>2</v>
      </c>
      <c r="B13" s="174" t="s">
        <v>30</v>
      </c>
      <c r="C13" s="68">
        <f>'Function 2'!A7</f>
        <v>12</v>
      </c>
      <c r="D13" s="68">
        <f>'Function 2'!C7</f>
        <v>3</v>
      </c>
      <c r="E13" s="68">
        <f>'Function 2'!F7</f>
        <v>0</v>
      </c>
      <c r="F13" s="69">
        <f>'Function 2'!L7</f>
        <v>12</v>
      </c>
      <c r="G13" s="68">
        <f>'Function 2'!M7</f>
        <v>2</v>
      </c>
      <c r="H13" s="68">
        <f>'Function 2'!N7</f>
        <v>1</v>
      </c>
      <c r="I13" s="68">
        <f>'Function 2'!O7</f>
        <v>15</v>
      </c>
    </row>
    <row r="14" spans="1:9">
      <c r="A14" s="67">
        <v>3</v>
      </c>
      <c r="B14" s="174" t="s">
        <v>122</v>
      </c>
      <c r="C14" s="68">
        <f>Function3!A7</f>
        <v>12</v>
      </c>
      <c r="D14" s="68">
        <f>Function3!C7</f>
        <v>2</v>
      </c>
      <c r="E14" s="68">
        <f>Function3!F7</f>
        <v>1</v>
      </c>
      <c r="F14" s="69">
        <f>Function3!L7</f>
        <v>12</v>
      </c>
      <c r="G14" s="68">
        <f>Function3!M7</f>
        <v>2</v>
      </c>
      <c r="H14" s="68">
        <f>Function3!N7</f>
        <v>1</v>
      </c>
      <c r="I14" s="68">
        <f>Function3!O7</f>
        <v>15</v>
      </c>
    </row>
    <row r="15" spans="1:9" ht="14">
      <c r="A15" s="67"/>
      <c r="B15" s="172"/>
      <c r="C15" s="68"/>
      <c r="D15" s="68"/>
      <c r="E15" s="68"/>
      <c r="F15" s="69"/>
      <c r="G15" s="68"/>
      <c r="H15" s="68"/>
      <c r="I15" s="68"/>
    </row>
    <row r="16" spans="1:9" ht="14">
      <c r="A16" s="67"/>
      <c r="B16" s="172"/>
      <c r="C16" s="68"/>
      <c r="D16" s="68"/>
      <c r="E16" s="68"/>
      <c r="F16" s="69"/>
      <c r="G16" s="68"/>
      <c r="H16" s="68"/>
      <c r="I16" s="68"/>
    </row>
    <row r="17" spans="1:9" ht="14">
      <c r="A17" s="70"/>
      <c r="B17" s="173" t="s">
        <v>38</v>
      </c>
      <c r="C17" s="71">
        <f t="shared" ref="C17:I17" si="0">SUM(C10:C16)</f>
        <v>39</v>
      </c>
      <c r="D17" s="71">
        <f t="shared" si="0"/>
        <v>5</v>
      </c>
      <c r="E17" s="71">
        <f t="shared" si="0"/>
        <v>1</v>
      </c>
      <c r="F17" s="71">
        <f t="shared" si="0"/>
        <v>29</v>
      </c>
      <c r="G17" s="71">
        <f t="shared" si="0"/>
        <v>12</v>
      </c>
      <c r="H17" s="71">
        <f t="shared" si="0"/>
        <v>4</v>
      </c>
      <c r="I17" s="71">
        <f t="shared" si="0"/>
        <v>45</v>
      </c>
    </row>
    <row r="18" spans="1:9">
      <c r="A18" s="72"/>
      <c r="C18" s="73"/>
      <c r="D18" s="74"/>
      <c r="E18" s="74"/>
      <c r="F18" s="74"/>
      <c r="G18" s="74"/>
      <c r="H18" s="74"/>
      <c r="I18" s="74"/>
    </row>
    <row r="19" spans="1:9">
      <c r="B19" s="191" t="s">
        <v>39</v>
      </c>
      <c r="D19" s="192">
        <f>(C17+D17)*100/(I17)</f>
        <v>97.777777777777771</v>
      </c>
      <c r="E19" s="6" t="s">
        <v>40</v>
      </c>
      <c r="I19" s="75"/>
    </row>
    <row r="20" spans="1:9">
      <c r="B20" s="191" t="s">
        <v>41</v>
      </c>
      <c r="D20" s="192">
        <f>C17*100/(I17)</f>
        <v>86.666666666666671</v>
      </c>
      <c r="E20" s="6" t="s">
        <v>40</v>
      </c>
      <c r="I20" s="75"/>
    </row>
    <row r="21" spans="1:9">
      <c r="B21" s="191" t="s">
        <v>42</v>
      </c>
      <c r="D21" s="192">
        <f>F17*100/I17</f>
        <v>64.444444444444443</v>
      </c>
      <c r="E21" s="6" t="s">
        <v>40</v>
      </c>
    </row>
    <row r="22" spans="1:9">
      <c r="B22" s="191" t="s">
        <v>43</v>
      </c>
      <c r="D22" s="192">
        <f>G17*100/I17</f>
        <v>26.666666666666668</v>
      </c>
      <c r="E22" s="6" t="s">
        <v>40</v>
      </c>
    </row>
    <row r="23" spans="1:9">
      <c r="B23" s="191" t="s">
        <v>44</v>
      </c>
      <c r="D23" s="192">
        <f>H17*100/I17</f>
        <v>8.8888888888888893</v>
      </c>
      <c r="E23" s="6" t="s">
        <v>40</v>
      </c>
    </row>
  </sheetData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hyperlinks>
    <hyperlink ref="B12" location="Function1!A1" display="Function1" xr:uid="{00000000-0004-0000-0300-000000000000}"/>
    <hyperlink ref="B13" location="Function2!A1" display="Function2" xr:uid="{00000000-0004-0000-0300-000001000000}"/>
    <hyperlink ref="B14" location="Function2!A1" display="Function2" xr:uid="{00000000-0004-0000-0300-000002000000}"/>
  </hyperlinks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8"/>
  <sheetViews>
    <sheetView tabSelected="1" zoomScale="181" workbookViewId="0">
      <pane ySplit="9" topLeftCell="A51" activePane="bottomLeft" state="frozen"/>
      <selection pane="bottomLeft" activeCell="W55" sqref="W55"/>
    </sheetView>
  </sheetViews>
  <sheetFormatPr baseColWidth="10" defaultColWidth="9" defaultRowHeight="13.5" customHeight="1"/>
  <cols>
    <col min="1" max="1" width="8.1640625" style="78" customWidth="1"/>
    <col min="2" max="2" width="13.33203125" style="82" customWidth="1"/>
    <col min="3" max="3" width="10.83203125" style="78" customWidth="1"/>
    <col min="4" max="4" width="11.33203125" style="79" customWidth="1"/>
    <col min="5" max="5" width="1.83203125" style="78" hidden="1" customWidth="1"/>
    <col min="6" max="7" width="2.83203125" style="78" bestFit="1" customWidth="1"/>
    <col min="8" max="8" width="2.83203125" style="78" customWidth="1"/>
    <col min="9" max="10" width="2.83203125" style="78" bestFit="1" customWidth="1"/>
    <col min="11" max="19" width="2.83203125" style="78" customWidth="1"/>
    <col min="20" max="20" width="2.83203125" style="78" bestFit="1" customWidth="1"/>
    <col min="21" max="21" width="2.83203125" style="78" customWidth="1"/>
    <col min="22" max="16384" width="9" style="78"/>
  </cols>
  <sheetData>
    <row r="1" spans="1:22" ht="13.5" customHeight="1" thickBot="1">
      <c r="A1" s="76"/>
      <c r="B1" s="77"/>
    </row>
    <row r="2" spans="1:22" ht="13.5" customHeight="1">
      <c r="A2" s="355" t="s">
        <v>104</v>
      </c>
      <c r="B2" s="356"/>
      <c r="C2" s="357" t="str">
        <f>Functions!E11</f>
        <v>Function1</v>
      </c>
      <c r="D2" s="358"/>
      <c r="E2" s="359"/>
      <c r="F2" s="360" t="s">
        <v>23</v>
      </c>
      <c r="G2" s="361"/>
      <c r="H2" s="361"/>
      <c r="I2" s="361"/>
      <c r="J2" s="361"/>
      <c r="K2" s="361"/>
      <c r="L2" s="340" t="str">
        <f>Functions!D11</f>
        <v>Function A</v>
      </c>
      <c r="M2" s="341"/>
      <c r="N2" s="341"/>
      <c r="O2" s="341"/>
      <c r="P2" s="341"/>
      <c r="Q2" s="341"/>
      <c r="R2" s="341"/>
      <c r="S2" s="341"/>
      <c r="T2" s="342"/>
      <c r="V2" s="80"/>
    </row>
    <row r="3" spans="1:22" ht="13.5" customHeight="1">
      <c r="A3" s="367" t="s">
        <v>105</v>
      </c>
      <c r="B3" s="368"/>
      <c r="C3" s="369" t="s">
        <v>45</v>
      </c>
      <c r="D3" s="343"/>
      <c r="E3" s="370"/>
      <c r="F3" s="346" t="s">
        <v>106</v>
      </c>
      <c r="G3" s="347"/>
      <c r="H3" s="347"/>
      <c r="I3" s="347"/>
      <c r="J3" s="347"/>
      <c r="K3" s="348"/>
      <c r="L3" s="343"/>
      <c r="M3" s="343"/>
      <c r="N3" s="343"/>
      <c r="O3" s="181"/>
      <c r="P3" s="181"/>
      <c r="Q3" s="181"/>
      <c r="R3" s="181"/>
      <c r="S3" s="181"/>
      <c r="T3" s="182"/>
    </row>
    <row r="4" spans="1:22" ht="13.5" customHeight="1">
      <c r="A4" s="367" t="s">
        <v>107</v>
      </c>
      <c r="B4" s="368"/>
      <c r="C4" s="285">
        <v>100</v>
      </c>
      <c r="D4" s="281"/>
      <c r="E4" s="193"/>
      <c r="F4" s="346" t="s">
        <v>108</v>
      </c>
      <c r="G4" s="347"/>
      <c r="H4" s="347"/>
      <c r="I4" s="347"/>
      <c r="J4" s="347"/>
      <c r="K4" s="348"/>
      <c r="L4" s="349">
        <f xml:space="preserve"> IF(Functions!E6&lt;&gt;"N/A",SUM(C4*Functions!E6/1000,- O7),"N/A")</f>
        <v>-5</v>
      </c>
      <c r="M4" s="350"/>
      <c r="N4" s="350"/>
      <c r="O4" s="350"/>
      <c r="P4" s="350"/>
      <c r="Q4" s="350"/>
      <c r="R4" s="350"/>
      <c r="S4" s="350"/>
      <c r="T4" s="351"/>
      <c r="V4" s="80"/>
    </row>
    <row r="5" spans="1:22" ht="13.5" customHeight="1">
      <c r="A5" s="367" t="s">
        <v>109</v>
      </c>
      <c r="B5" s="368"/>
      <c r="C5" s="282" t="s">
        <v>103</v>
      </c>
      <c r="D5" s="282"/>
      <c r="E5" s="282"/>
      <c r="F5" s="283"/>
      <c r="G5" s="283"/>
      <c r="H5" s="283"/>
      <c r="I5" s="283"/>
      <c r="J5" s="283"/>
      <c r="K5" s="283"/>
      <c r="L5" s="282"/>
      <c r="M5" s="282"/>
      <c r="N5" s="282"/>
      <c r="O5" s="282"/>
      <c r="P5" s="282"/>
      <c r="Q5" s="282"/>
      <c r="R5" s="282"/>
      <c r="S5" s="282"/>
      <c r="T5" s="282"/>
    </row>
    <row r="6" spans="1:22" ht="13.5" customHeight="1">
      <c r="A6" s="371" t="s">
        <v>34</v>
      </c>
      <c r="B6" s="372"/>
      <c r="C6" s="344" t="s">
        <v>35</v>
      </c>
      <c r="D6" s="337"/>
      <c r="E6" s="345"/>
      <c r="F6" s="344" t="s">
        <v>36</v>
      </c>
      <c r="G6" s="337"/>
      <c r="H6" s="337"/>
      <c r="I6" s="337"/>
      <c r="J6" s="337"/>
      <c r="K6" s="352"/>
      <c r="L6" s="337" t="s">
        <v>110</v>
      </c>
      <c r="M6" s="337"/>
      <c r="N6" s="337"/>
      <c r="O6" s="338" t="s">
        <v>37</v>
      </c>
      <c r="P6" s="337"/>
      <c r="Q6" s="337"/>
      <c r="R6" s="337"/>
      <c r="S6" s="337"/>
      <c r="T6" s="339"/>
      <c r="V6" s="80"/>
    </row>
    <row r="7" spans="1:22" ht="13.5" customHeight="1" thickBot="1">
      <c r="A7" s="366">
        <f>COUNTIF(F65:HQ65,"P")</f>
        <v>15</v>
      </c>
      <c r="B7" s="365"/>
      <c r="C7" s="362">
        <f>COUNTIF(F65:HQ65,"F")</f>
        <v>0</v>
      </c>
      <c r="D7" s="363"/>
      <c r="E7" s="365"/>
      <c r="F7" s="362">
        <f>SUM(O7,- A7,- C7)</f>
        <v>0</v>
      </c>
      <c r="G7" s="363"/>
      <c r="H7" s="363"/>
      <c r="I7" s="363"/>
      <c r="J7" s="363"/>
      <c r="K7" s="364"/>
      <c r="L7" s="183">
        <f>COUNTIF(E64:HQ64,"N")</f>
        <v>5</v>
      </c>
      <c r="M7" s="183">
        <f>COUNTIF(E64:HQ64,"A")</f>
        <v>8</v>
      </c>
      <c r="N7" s="183">
        <f>COUNTIF(E64:HQ64,"B")</f>
        <v>2</v>
      </c>
      <c r="O7" s="183">
        <f>COUNTA(E9:HT9)</f>
        <v>15</v>
      </c>
      <c r="P7" s="280"/>
      <c r="Q7" s="280"/>
      <c r="R7" s="280"/>
      <c r="S7" s="280"/>
      <c r="T7" s="284"/>
      <c r="U7" s="81"/>
    </row>
    <row r="8" spans="1:22" ht="12" thickBot="1"/>
    <row r="9" spans="1:22" ht="46.5" customHeight="1" thickTop="1" thickBot="1">
      <c r="A9" s="241"/>
      <c r="B9" s="242"/>
      <c r="C9" s="243"/>
      <c r="D9" s="244"/>
      <c r="E9" s="243"/>
      <c r="F9" s="245" t="s">
        <v>46</v>
      </c>
      <c r="G9" s="245" t="s">
        <v>47</v>
      </c>
      <c r="H9" s="245" t="s">
        <v>48</v>
      </c>
      <c r="I9" s="245" t="s">
        <v>49</v>
      </c>
      <c r="J9" s="245" t="s">
        <v>50</v>
      </c>
      <c r="K9" s="245" t="s">
        <v>51</v>
      </c>
      <c r="L9" s="245" t="s">
        <v>52</v>
      </c>
      <c r="M9" s="245" t="s">
        <v>53</v>
      </c>
      <c r="N9" s="245" t="s">
        <v>54</v>
      </c>
      <c r="O9" s="245" t="s">
        <v>55</v>
      </c>
      <c r="P9" s="245" t="s">
        <v>56</v>
      </c>
      <c r="Q9" s="245" t="s">
        <v>57</v>
      </c>
      <c r="R9" s="245" t="s">
        <v>58</v>
      </c>
      <c r="S9" s="245" t="s">
        <v>59</v>
      </c>
      <c r="T9" s="246" t="s">
        <v>60</v>
      </c>
      <c r="U9" s="83"/>
      <c r="V9" s="80"/>
    </row>
    <row r="10" spans="1:22" ht="13.5" customHeight="1">
      <c r="A10" s="222" t="s">
        <v>111</v>
      </c>
      <c r="B10" s="223" t="s">
        <v>112</v>
      </c>
      <c r="C10" s="224"/>
      <c r="D10" s="225"/>
      <c r="E10" s="89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210"/>
    </row>
    <row r="11" spans="1:22" ht="13.5" customHeight="1">
      <c r="A11" s="208"/>
      <c r="B11" s="84"/>
      <c r="C11" s="85"/>
      <c r="D11" s="86" t="s">
        <v>61</v>
      </c>
      <c r="E11" s="89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207"/>
      <c r="V11" s="80"/>
    </row>
    <row r="12" spans="1:22" ht="13.5" customHeight="1">
      <c r="A12" s="208"/>
      <c r="B12" s="84"/>
      <c r="C12" s="85"/>
      <c r="D12" s="86"/>
      <c r="E12" s="89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207"/>
    </row>
    <row r="13" spans="1:22" ht="13.5" customHeight="1">
      <c r="A13" s="208"/>
      <c r="B13" s="84"/>
      <c r="C13" s="85"/>
      <c r="D13" s="86"/>
      <c r="E13" s="90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207"/>
    </row>
    <row r="14" spans="1:22" ht="13.5" customHeight="1">
      <c r="A14" s="208"/>
      <c r="B14" s="286" t="s">
        <v>181</v>
      </c>
      <c r="C14" s="85"/>
      <c r="D14" s="86"/>
      <c r="E14" s="91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207"/>
    </row>
    <row r="15" spans="1:22" ht="13.5" customHeight="1">
      <c r="A15" s="208"/>
      <c r="B15" s="84"/>
      <c r="C15" s="85"/>
      <c r="D15" s="289" t="s">
        <v>184</v>
      </c>
      <c r="E15" s="91"/>
      <c r="F15" s="175" t="s">
        <v>146</v>
      </c>
      <c r="G15" s="175"/>
      <c r="H15" s="175"/>
      <c r="I15" s="175"/>
      <c r="J15" s="175"/>
      <c r="K15" s="175"/>
      <c r="L15" s="175" t="s">
        <v>146</v>
      </c>
      <c r="M15" s="175" t="s">
        <v>146</v>
      </c>
      <c r="N15" s="175" t="s">
        <v>146</v>
      </c>
      <c r="O15" s="175"/>
      <c r="P15" s="175"/>
      <c r="Q15" s="175" t="s">
        <v>146</v>
      </c>
      <c r="R15" s="175"/>
      <c r="S15" s="175"/>
      <c r="T15" s="207"/>
    </row>
    <row r="16" spans="1:22" ht="13.5" customHeight="1">
      <c r="A16" s="208"/>
      <c r="B16" s="84"/>
      <c r="C16" s="85"/>
      <c r="D16" s="289" t="s">
        <v>64</v>
      </c>
      <c r="E16" s="91"/>
      <c r="F16" s="175"/>
      <c r="G16" s="175"/>
      <c r="H16" s="175"/>
      <c r="I16" s="175"/>
      <c r="J16" s="175" t="s">
        <v>146</v>
      </c>
      <c r="K16" s="175"/>
      <c r="L16" s="175"/>
      <c r="M16" s="175"/>
      <c r="N16" s="175"/>
      <c r="O16" s="175"/>
      <c r="P16" s="175"/>
      <c r="Q16" s="175"/>
      <c r="R16" s="175"/>
      <c r="S16" s="175"/>
      <c r="T16" s="207"/>
    </row>
    <row r="17" spans="1:21" ht="13.5" customHeight="1">
      <c r="A17" s="208"/>
      <c r="B17" s="84"/>
      <c r="C17" s="85"/>
      <c r="D17" s="289" t="s">
        <v>185</v>
      </c>
      <c r="E17" s="91"/>
      <c r="F17" s="175"/>
      <c r="G17" s="175"/>
      <c r="H17" s="175" t="s">
        <v>146</v>
      </c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207"/>
    </row>
    <row r="18" spans="1:21" ht="13.5" customHeight="1">
      <c r="A18" s="208"/>
      <c r="B18" s="84"/>
      <c r="C18" s="85"/>
      <c r="D18" s="289" t="s">
        <v>186</v>
      </c>
      <c r="E18" s="91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207"/>
      <c r="U18" s="176"/>
    </row>
    <row r="19" spans="1:21" ht="13.5" customHeight="1">
      <c r="A19" s="208"/>
      <c r="B19" s="431"/>
      <c r="C19" s="85"/>
      <c r="D19" s="304"/>
      <c r="E19" s="91"/>
      <c r="F19" s="175"/>
      <c r="G19" s="175" t="s">
        <v>146</v>
      </c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207"/>
      <c r="U19" s="176"/>
    </row>
    <row r="20" spans="1:21" ht="13.5" customHeight="1">
      <c r="A20" s="208"/>
      <c r="B20" s="303"/>
      <c r="C20" s="85"/>
      <c r="D20" s="304" t="s">
        <v>202</v>
      </c>
      <c r="E20" s="91"/>
      <c r="F20" s="175"/>
      <c r="G20" s="175"/>
      <c r="H20" s="175"/>
      <c r="I20" s="175"/>
      <c r="J20" s="175"/>
      <c r="K20" s="175" t="s">
        <v>146</v>
      </c>
      <c r="L20" s="175"/>
      <c r="M20" s="175"/>
      <c r="N20" s="175"/>
      <c r="O20" s="175"/>
      <c r="P20" s="175"/>
      <c r="Q20" s="175"/>
      <c r="R20" s="175"/>
      <c r="S20" s="175"/>
      <c r="T20" s="207"/>
      <c r="U20" s="176"/>
    </row>
    <row r="21" spans="1:21" ht="13.5" customHeight="1">
      <c r="A21" s="208"/>
      <c r="B21" s="303"/>
      <c r="C21" s="85"/>
      <c r="D21" s="304" t="s">
        <v>201</v>
      </c>
      <c r="E21" s="91"/>
      <c r="F21" s="175"/>
      <c r="G21" s="175"/>
      <c r="H21" s="175"/>
      <c r="I21" s="175" t="s">
        <v>146</v>
      </c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207"/>
      <c r="U21" s="176"/>
    </row>
    <row r="22" spans="1:21" ht="13.5" customHeight="1">
      <c r="A22" s="208"/>
      <c r="B22" s="303"/>
      <c r="C22" s="85"/>
      <c r="D22" s="304" t="s">
        <v>203</v>
      </c>
      <c r="E22" s="91"/>
      <c r="F22" s="175"/>
      <c r="G22" s="175"/>
      <c r="H22" s="175"/>
      <c r="I22" s="175"/>
      <c r="J22" s="175"/>
      <c r="K22" s="175"/>
      <c r="L22" s="175"/>
      <c r="M22" s="175"/>
      <c r="N22" s="175"/>
      <c r="O22" s="175" t="s">
        <v>146</v>
      </c>
      <c r="P22" s="175" t="s">
        <v>146</v>
      </c>
      <c r="Q22" s="175"/>
      <c r="R22" s="175"/>
      <c r="S22" s="175"/>
      <c r="T22" s="207"/>
      <c r="U22" s="176"/>
    </row>
    <row r="23" spans="1:21" ht="13.5" customHeight="1">
      <c r="A23" s="208"/>
      <c r="B23" s="303"/>
      <c r="C23" s="85"/>
      <c r="D23" s="304" t="s">
        <v>204</v>
      </c>
      <c r="E23" s="91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 t="s">
        <v>146</v>
      </c>
      <c r="S23" s="175"/>
      <c r="T23" s="207"/>
      <c r="U23" s="176"/>
    </row>
    <row r="24" spans="1:21" ht="13.5" customHeight="1">
      <c r="A24" s="208"/>
      <c r="B24" s="303"/>
      <c r="C24" s="85"/>
      <c r="D24" s="304" t="s">
        <v>205</v>
      </c>
      <c r="E24" s="91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 t="s">
        <v>146</v>
      </c>
      <c r="T24" s="207"/>
      <c r="U24" s="176"/>
    </row>
    <row r="25" spans="1:21" ht="13.5" customHeight="1">
      <c r="A25" s="208"/>
      <c r="B25" s="303"/>
      <c r="C25" s="85"/>
      <c r="D25" s="304" t="s">
        <v>206</v>
      </c>
      <c r="E25" s="91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207" t="s">
        <v>146</v>
      </c>
      <c r="U25" s="176"/>
    </row>
    <row r="26" spans="1:21" ht="13.5" customHeight="1">
      <c r="A26" s="208"/>
      <c r="B26" s="286" t="s">
        <v>182</v>
      </c>
      <c r="C26" s="85"/>
      <c r="D26" s="86"/>
      <c r="E26" s="91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207"/>
      <c r="U26" s="176"/>
    </row>
    <row r="27" spans="1:21" ht="13.5" customHeight="1">
      <c r="A27" s="208"/>
      <c r="B27" s="84"/>
      <c r="C27" s="85"/>
      <c r="D27" s="353" t="s">
        <v>187</v>
      </c>
      <c r="E27" s="354"/>
      <c r="F27" s="175" t="s">
        <v>146</v>
      </c>
      <c r="G27" s="175" t="s">
        <v>146</v>
      </c>
      <c r="H27" s="175"/>
      <c r="I27" s="175"/>
      <c r="J27" s="175" t="s">
        <v>146</v>
      </c>
      <c r="K27" s="175" t="s">
        <v>146</v>
      </c>
      <c r="L27" s="175"/>
      <c r="M27" s="175"/>
      <c r="N27" s="175"/>
      <c r="O27" s="175"/>
      <c r="P27" s="175"/>
      <c r="Q27" s="175" t="s">
        <v>146</v>
      </c>
      <c r="R27" s="175"/>
      <c r="S27" s="175"/>
      <c r="T27" s="207"/>
    </row>
    <row r="28" spans="1:21" ht="13.5" customHeight="1">
      <c r="A28" s="208"/>
      <c r="B28" s="84"/>
      <c r="C28" s="85"/>
      <c r="D28" s="86" t="s">
        <v>191</v>
      </c>
      <c r="E28" s="91"/>
      <c r="F28" s="175"/>
      <c r="G28" s="175"/>
      <c r="H28" s="175" t="s">
        <v>146</v>
      </c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207"/>
    </row>
    <row r="29" spans="1:21" ht="13.5" customHeight="1">
      <c r="A29" s="208"/>
      <c r="B29" s="84"/>
      <c r="C29" s="85"/>
      <c r="D29" s="86" t="s">
        <v>182</v>
      </c>
      <c r="E29" s="91"/>
      <c r="F29" s="175"/>
      <c r="G29" s="175"/>
      <c r="H29" s="175"/>
      <c r="I29" s="175" t="s">
        <v>146</v>
      </c>
      <c r="J29" s="175"/>
      <c r="K29" s="175"/>
      <c r="L29" s="175"/>
      <c r="M29" s="175"/>
      <c r="N29" s="175"/>
      <c r="O29" s="175" t="s">
        <v>146</v>
      </c>
      <c r="P29" s="175" t="s">
        <v>146</v>
      </c>
      <c r="Q29" s="175"/>
      <c r="R29" s="175"/>
      <c r="S29" s="175"/>
      <c r="T29" s="207"/>
    </row>
    <row r="30" spans="1:21" ht="13.5" customHeight="1">
      <c r="A30" s="208"/>
      <c r="B30" s="303"/>
      <c r="C30" s="85"/>
      <c r="D30" s="86" t="s">
        <v>64</v>
      </c>
      <c r="E30" s="91"/>
      <c r="F30" s="175"/>
      <c r="G30" s="175"/>
      <c r="H30" s="175"/>
      <c r="I30" s="175"/>
      <c r="J30" s="175"/>
      <c r="K30" s="175"/>
      <c r="L30" s="175" t="s">
        <v>146</v>
      </c>
      <c r="M30" s="175"/>
      <c r="N30" s="175"/>
      <c r="O30" s="175"/>
      <c r="P30" s="175"/>
      <c r="Q30" s="175"/>
      <c r="R30" s="175"/>
      <c r="S30" s="175"/>
      <c r="T30" s="207"/>
    </row>
    <row r="31" spans="1:21" ht="13.5" customHeight="1">
      <c r="A31" s="208"/>
      <c r="B31" s="303"/>
      <c r="C31" s="85"/>
      <c r="D31" s="86" t="s">
        <v>202</v>
      </c>
      <c r="E31" s="91"/>
      <c r="F31" s="175"/>
      <c r="G31" s="175"/>
      <c r="H31" s="175"/>
      <c r="I31" s="175"/>
      <c r="J31" s="175"/>
      <c r="K31" s="175"/>
      <c r="L31" s="175"/>
      <c r="M31" s="175" t="s">
        <v>146</v>
      </c>
      <c r="N31" s="175"/>
      <c r="O31" s="175"/>
      <c r="P31" s="175"/>
      <c r="Q31" s="175"/>
      <c r="R31" s="175"/>
      <c r="S31" s="175"/>
      <c r="T31" s="207"/>
    </row>
    <row r="32" spans="1:21" ht="13.5" customHeight="1">
      <c r="A32" s="208"/>
      <c r="B32" s="303"/>
      <c r="C32" s="85"/>
      <c r="D32" s="86">
        <v>12345</v>
      </c>
      <c r="E32" s="91"/>
      <c r="F32" s="175"/>
      <c r="G32" s="175"/>
      <c r="H32" s="175"/>
      <c r="I32" s="175"/>
      <c r="J32" s="175"/>
      <c r="K32" s="175"/>
      <c r="L32" s="175"/>
      <c r="M32" s="175"/>
      <c r="N32" s="175" t="s">
        <v>146</v>
      </c>
      <c r="O32" s="175"/>
      <c r="P32" s="175"/>
      <c r="Q32" s="175"/>
      <c r="R32" s="175"/>
      <c r="S32" s="175"/>
      <c r="T32" s="207"/>
    </row>
    <row r="33" spans="1:20" ht="13.5" customHeight="1">
      <c r="A33" s="208"/>
      <c r="B33" s="303"/>
      <c r="C33" s="85"/>
      <c r="D33" s="86" t="s">
        <v>207</v>
      </c>
      <c r="E33" s="91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 t="s">
        <v>146</v>
      </c>
      <c r="S33" s="175"/>
      <c r="T33" s="207"/>
    </row>
    <row r="34" spans="1:20" ht="13.5" customHeight="1">
      <c r="A34" s="208"/>
      <c r="B34" s="303"/>
      <c r="C34" s="85"/>
      <c r="D34" s="86" t="s">
        <v>209</v>
      </c>
      <c r="E34" s="91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 t="s">
        <v>146</v>
      </c>
      <c r="T34" s="207"/>
    </row>
    <row r="35" spans="1:20" ht="13.5" customHeight="1">
      <c r="A35" s="208"/>
      <c r="B35" s="303"/>
      <c r="C35" s="85"/>
      <c r="D35" s="86" t="s">
        <v>208</v>
      </c>
      <c r="E35" s="91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207" t="s">
        <v>146</v>
      </c>
    </row>
    <row r="36" spans="1:20" ht="13.5" customHeight="1">
      <c r="A36" s="208"/>
      <c r="B36" s="303"/>
      <c r="C36" s="85"/>
      <c r="D36" s="86" t="s">
        <v>200</v>
      </c>
      <c r="E36" s="91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207"/>
    </row>
    <row r="37" spans="1:20" ht="13.5" customHeight="1">
      <c r="A37" s="208"/>
      <c r="B37" s="286" t="s">
        <v>183</v>
      </c>
      <c r="C37" s="85"/>
      <c r="D37" s="287" t="s">
        <v>188</v>
      </c>
      <c r="E37" s="91"/>
      <c r="F37" s="175" t="s">
        <v>146</v>
      </c>
      <c r="G37" s="175" t="s">
        <v>146</v>
      </c>
      <c r="H37" s="175"/>
      <c r="I37" s="175"/>
      <c r="J37" s="175"/>
      <c r="K37" s="175"/>
      <c r="L37" s="175" t="s">
        <v>146</v>
      </c>
      <c r="M37" s="175" t="s">
        <v>146</v>
      </c>
      <c r="N37" s="175" t="s">
        <v>146</v>
      </c>
      <c r="O37" s="175"/>
      <c r="P37" s="175"/>
      <c r="Q37" s="175" t="s">
        <v>146</v>
      </c>
      <c r="R37" s="175"/>
      <c r="S37" s="175"/>
      <c r="T37" s="207"/>
    </row>
    <row r="38" spans="1:20" ht="13.5" customHeight="1">
      <c r="A38" s="208"/>
      <c r="B38" s="84"/>
      <c r="C38" s="85"/>
      <c r="D38" s="288" t="s">
        <v>189</v>
      </c>
      <c r="E38" s="91"/>
      <c r="F38" s="175"/>
      <c r="G38" s="175"/>
      <c r="H38" s="175" t="s">
        <v>146</v>
      </c>
      <c r="I38" s="175"/>
      <c r="J38" s="175"/>
      <c r="K38" s="175"/>
      <c r="L38" s="175"/>
      <c r="M38" s="175"/>
      <c r="N38" s="175"/>
      <c r="O38" s="175"/>
      <c r="P38" s="175"/>
      <c r="Q38" s="175"/>
      <c r="R38" s="175" t="s">
        <v>146</v>
      </c>
      <c r="S38" s="175"/>
      <c r="T38" s="207"/>
    </row>
    <row r="39" spans="1:20" ht="13.5" customHeight="1">
      <c r="A39" s="208"/>
      <c r="B39" s="84"/>
      <c r="C39" s="85"/>
      <c r="D39" s="287" t="s">
        <v>190</v>
      </c>
      <c r="E39" s="91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207"/>
    </row>
    <row r="40" spans="1:20" ht="13.5" customHeight="1">
      <c r="A40" s="208"/>
      <c r="B40" s="84"/>
      <c r="C40" s="85"/>
      <c r="D40" s="86" t="s">
        <v>63</v>
      </c>
      <c r="E40" s="91"/>
      <c r="F40" s="175"/>
      <c r="G40" s="175"/>
      <c r="H40" s="175"/>
      <c r="I40" s="175"/>
      <c r="J40" s="175"/>
      <c r="K40" s="175"/>
      <c r="L40" s="175"/>
      <c r="M40" s="175"/>
      <c r="N40" s="175"/>
      <c r="O40" s="175" t="s">
        <v>146</v>
      </c>
      <c r="P40" s="175"/>
      <c r="Q40" s="175"/>
      <c r="R40" s="175"/>
      <c r="S40" s="175"/>
      <c r="T40" s="207"/>
    </row>
    <row r="41" spans="1:20" ht="13.5" customHeight="1">
      <c r="A41" s="208"/>
      <c r="B41" s="84"/>
      <c r="C41" s="85"/>
      <c r="D41" s="86" t="s">
        <v>212</v>
      </c>
      <c r="E41" s="91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 t="s">
        <v>146</v>
      </c>
      <c r="Q41" s="175"/>
      <c r="R41" s="175"/>
      <c r="S41" s="175"/>
      <c r="T41" s="207"/>
    </row>
    <row r="42" spans="1:20" ht="13.5" customHeight="1">
      <c r="A42" s="208"/>
      <c r="B42" s="84"/>
      <c r="C42" s="85"/>
      <c r="D42" s="86" t="s">
        <v>64</v>
      </c>
      <c r="E42" s="91"/>
      <c r="F42" s="175"/>
      <c r="G42" s="175"/>
      <c r="H42" s="175"/>
      <c r="I42" s="175"/>
      <c r="J42" s="175" t="s">
        <v>146</v>
      </c>
      <c r="K42" s="175"/>
      <c r="L42" s="175"/>
      <c r="M42" s="175"/>
      <c r="N42" s="175"/>
      <c r="O42" s="175"/>
      <c r="P42" s="175"/>
      <c r="Q42" s="175"/>
      <c r="R42" s="175"/>
      <c r="S42" s="175"/>
      <c r="T42" s="207"/>
    </row>
    <row r="43" spans="1:20" ht="13.5" customHeight="1">
      <c r="A43" s="208"/>
      <c r="B43" s="84"/>
      <c r="C43" s="85"/>
      <c r="D43" s="287" t="s">
        <v>210</v>
      </c>
      <c r="E43" s="91"/>
      <c r="F43" s="175"/>
      <c r="G43" s="175"/>
      <c r="H43" s="175"/>
      <c r="I43" s="175" t="s">
        <v>146</v>
      </c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207"/>
    </row>
    <row r="44" spans="1:20" ht="13.5" customHeight="1" thickBot="1">
      <c r="A44" s="208"/>
      <c r="B44" s="84"/>
      <c r="C44" s="85"/>
      <c r="D44" s="432" t="s">
        <v>211</v>
      </c>
      <c r="E44" s="91"/>
      <c r="F44" s="175"/>
      <c r="G44" s="175"/>
      <c r="H44" s="175"/>
      <c r="I44" s="175"/>
      <c r="J44" s="175"/>
      <c r="K44" s="175" t="s">
        <v>146</v>
      </c>
      <c r="L44" s="175"/>
      <c r="M44" s="175"/>
      <c r="N44" s="175"/>
      <c r="O44" s="175"/>
      <c r="P44" s="175"/>
      <c r="Q44" s="175"/>
      <c r="R44" s="175"/>
      <c r="S44" s="175"/>
      <c r="T44" s="207"/>
    </row>
    <row r="45" spans="1:20" ht="13.5" customHeight="1" thickTop="1">
      <c r="A45" s="208"/>
      <c r="B45" s="434"/>
      <c r="C45" s="435"/>
      <c r="D45" s="288" t="s">
        <v>214</v>
      </c>
      <c r="E45" s="91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 t="s">
        <v>146</v>
      </c>
      <c r="T45" s="211"/>
    </row>
    <row r="46" spans="1:20" ht="13.5" customHeight="1" thickBot="1">
      <c r="A46" s="208"/>
      <c r="B46" s="93"/>
      <c r="C46" s="94"/>
      <c r="D46" s="433" t="s">
        <v>213</v>
      </c>
      <c r="E46" s="96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209" t="s">
        <v>146</v>
      </c>
    </row>
    <row r="47" spans="1:20" ht="13.5" customHeight="1" thickTop="1">
      <c r="A47" s="221" t="s">
        <v>115</v>
      </c>
      <c r="B47" s="98" t="s">
        <v>116</v>
      </c>
      <c r="C47" s="99"/>
      <c r="D47" s="105" t="s">
        <v>178</v>
      </c>
      <c r="E47" s="101"/>
      <c r="F47" s="178" t="s">
        <v>146</v>
      </c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 t="s">
        <v>146</v>
      </c>
      <c r="S47" s="178" t="s">
        <v>146</v>
      </c>
      <c r="T47" s="210"/>
    </row>
    <row r="48" spans="1:20" ht="13.5" customHeight="1">
      <c r="A48" s="220"/>
      <c r="B48" s="103"/>
      <c r="C48" s="104"/>
      <c r="D48" s="105" t="s">
        <v>75</v>
      </c>
      <c r="E48" s="106"/>
      <c r="F48" s="175"/>
      <c r="G48" s="175" t="s">
        <v>146</v>
      </c>
      <c r="H48" s="175" t="s">
        <v>146</v>
      </c>
      <c r="I48" s="175" t="s">
        <v>146</v>
      </c>
      <c r="J48" s="175" t="s">
        <v>146</v>
      </c>
      <c r="K48" s="175" t="s">
        <v>146</v>
      </c>
      <c r="L48" s="175" t="s">
        <v>146</v>
      </c>
      <c r="M48" s="175" t="s">
        <v>146</v>
      </c>
      <c r="N48" s="175" t="s">
        <v>146</v>
      </c>
      <c r="O48" s="175" t="s">
        <v>146</v>
      </c>
      <c r="P48" s="175" t="s">
        <v>146</v>
      </c>
      <c r="Q48" s="175" t="s">
        <v>146</v>
      </c>
      <c r="R48" s="175"/>
      <c r="S48" s="175"/>
      <c r="T48" s="207" t="s">
        <v>146</v>
      </c>
    </row>
    <row r="49" spans="1:20" ht="13.5" customHeight="1">
      <c r="A49" s="220"/>
      <c r="B49" s="103"/>
      <c r="C49" s="179"/>
      <c r="D49" s="105"/>
      <c r="E49" s="108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207"/>
    </row>
    <row r="50" spans="1:20" ht="13.5" customHeight="1">
      <c r="A50" s="220"/>
      <c r="B50" s="103" t="s">
        <v>117</v>
      </c>
      <c r="C50" s="179"/>
      <c r="D50" s="105"/>
      <c r="E50" s="108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207"/>
    </row>
    <row r="51" spans="1:20" ht="13.5" customHeight="1">
      <c r="A51" s="220"/>
      <c r="B51" s="103"/>
      <c r="C51" s="179"/>
      <c r="D51" s="105"/>
      <c r="E51" s="108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207"/>
    </row>
    <row r="52" spans="1:20" ht="13.5" customHeight="1">
      <c r="A52" s="220"/>
      <c r="B52" s="103" t="s">
        <v>118</v>
      </c>
      <c r="C52" s="179"/>
      <c r="E52" s="108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207"/>
    </row>
    <row r="53" spans="1:20" ht="13.5" customHeight="1">
      <c r="A53" s="220"/>
      <c r="B53" s="103"/>
      <c r="C53" s="179"/>
      <c r="D53" s="105" t="s">
        <v>66</v>
      </c>
      <c r="E53" s="108"/>
      <c r="F53" s="175" t="s">
        <v>146</v>
      </c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 t="s">
        <v>146</v>
      </c>
      <c r="S53" s="175" t="s">
        <v>146</v>
      </c>
      <c r="T53" s="207"/>
    </row>
    <row r="54" spans="1:20" ht="13.5" customHeight="1">
      <c r="A54" s="220"/>
      <c r="B54" s="194"/>
      <c r="C54" s="195"/>
      <c r="D54" s="196" t="s">
        <v>197</v>
      </c>
      <c r="E54" s="197"/>
      <c r="F54" s="198"/>
      <c r="G54" s="198"/>
      <c r="H54" s="198"/>
      <c r="I54" s="198"/>
      <c r="J54" s="198" t="s">
        <v>146</v>
      </c>
      <c r="K54" s="198"/>
      <c r="L54" s="198"/>
      <c r="M54" s="198"/>
      <c r="N54" s="198"/>
      <c r="O54" s="198"/>
      <c r="P54" s="198"/>
      <c r="Q54" s="198"/>
      <c r="R54" s="198"/>
      <c r="S54" s="198"/>
      <c r="T54" s="211"/>
    </row>
    <row r="55" spans="1:20" ht="13.5" customHeight="1">
      <c r="A55" s="220"/>
      <c r="B55" s="194"/>
      <c r="C55" s="301"/>
      <c r="D55" s="196" t="s">
        <v>192</v>
      </c>
      <c r="E55" s="302"/>
      <c r="F55" s="198"/>
      <c r="G55" s="198"/>
      <c r="H55" s="198" t="s">
        <v>146</v>
      </c>
      <c r="I55" s="198"/>
      <c r="J55" s="198"/>
      <c r="K55" s="198"/>
      <c r="L55" s="198"/>
      <c r="M55" s="198"/>
      <c r="N55" s="198" t="s">
        <v>146</v>
      </c>
      <c r="O55" s="198"/>
      <c r="P55" s="198"/>
      <c r="Q55" s="198"/>
      <c r="R55" s="198"/>
      <c r="S55" s="198"/>
      <c r="T55" s="211"/>
    </row>
    <row r="56" spans="1:20" ht="13.5" customHeight="1">
      <c r="A56" s="220"/>
      <c r="B56" s="194"/>
      <c r="C56" s="301"/>
      <c r="D56" s="196" t="s">
        <v>193</v>
      </c>
      <c r="E56" s="302"/>
      <c r="F56" s="198"/>
      <c r="G56" s="198"/>
      <c r="H56" s="198"/>
      <c r="I56" s="198"/>
      <c r="J56" s="198"/>
      <c r="K56" s="198"/>
      <c r="L56" s="198" t="s">
        <v>146</v>
      </c>
      <c r="M56" s="198"/>
      <c r="N56" s="198"/>
      <c r="O56" s="198"/>
      <c r="P56" s="198"/>
      <c r="Q56" s="198"/>
      <c r="R56" s="198"/>
      <c r="S56" s="198"/>
      <c r="T56" s="211"/>
    </row>
    <row r="57" spans="1:20" ht="13.5" customHeight="1">
      <c r="A57" s="220"/>
      <c r="B57" s="194"/>
      <c r="C57" s="301"/>
      <c r="D57" s="196" t="s">
        <v>194</v>
      </c>
      <c r="E57" s="302"/>
      <c r="F57" s="198"/>
      <c r="G57" s="198"/>
      <c r="H57" s="198"/>
      <c r="I57" s="198"/>
      <c r="J57" s="198"/>
      <c r="K57" s="198"/>
      <c r="L57" s="198"/>
      <c r="M57" s="198" t="s">
        <v>146</v>
      </c>
      <c r="N57" s="198"/>
      <c r="O57" s="198"/>
      <c r="P57" s="198"/>
      <c r="Q57" s="198"/>
      <c r="R57" s="198"/>
      <c r="S57" s="198"/>
      <c r="T57" s="211"/>
    </row>
    <row r="58" spans="1:20" ht="13.5" customHeight="1">
      <c r="A58" s="220"/>
      <c r="B58" s="194"/>
      <c r="C58" s="301"/>
      <c r="D58" s="196" t="s">
        <v>195</v>
      </c>
      <c r="E58" s="302"/>
      <c r="F58" s="198"/>
      <c r="G58" s="198"/>
      <c r="H58" s="198"/>
      <c r="I58" s="198"/>
      <c r="J58" s="198"/>
      <c r="K58" s="198"/>
      <c r="L58" s="198"/>
      <c r="M58" s="198"/>
      <c r="N58" s="198"/>
      <c r="O58" s="198" t="s">
        <v>146</v>
      </c>
      <c r="P58" s="198"/>
      <c r="Q58" s="198"/>
      <c r="R58" s="198"/>
      <c r="S58" s="198"/>
      <c r="T58" s="211"/>
    </row>
    <row r="59" spans="1:20" ht="13.5" customHeight="1">
      <c r="A59" s="220"/>
      <c r="B59" s="194"/>
      <c r="C59" s="301"/>
      <c r="D59" s="196" t="s">
        <v>215</v>
      </c>
      <c r="E59" s="302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 t="s">
        <v>146</v>
      </c>
      <c r="R59" s="198"/>
      <c r="S59" s="198"/>
      <c r="T59" s="211"/>
    </row>
    <row r="60" spans="1:20" ht="13.5" customHeight="1">
      <c r="A60" s="220"/>
      <c r="B60" s="194"/>
      <c r="C60" s="301"/>
      <c r="D60" s="196" t="s">
        <v>196</v>
      </c>
      <c r="E60" s="302"/>
      <c r="F60" s="198"/>
      <c r="G60" s="198" t="s">
        <v>146</v>
      </c>
      <c r="H60" s="198"/>
      <c r="I60" s="198"/>
      <c r="J60" s="198"/>
      <c r="K60" s="198" t="s">
        <v>146</v>
      </c>
      <c r="L60" s="198"/>
      <c r="M60" s="198"/>
      <c r="N60" s="198"/>
      <c r="O60" s="198"/>
      <c r="P60" s="198"/>
      <c r="Q60" s="198"/>
      <c r="R60" s="198"/>
      <c r="S60" s="198"/>
      <c r="T60" s="211"/>
    </row>
    <row r="61" spans="1:20" ht="13.5" customHeight="1">
      <c r="A61" s="220"/>
      <c r="B61" s="194"/>
      <c r="C61" s="301"/>
      <c r="D61" s="196" t="s">
        <v>198</v>
      </c>
      <c r="E61" s="302"/>
      <c r="F61" s="198"/>
      <c r="G61" s="198"/>
      <c r="H61" s="198"/>
      <c r="I61" s="198" t="s">
        <v>146</v>
      </c>
      <c r="J61" s="198"/>
      <c r="K61" s="198"/>
      <c r="L61" s="198"/>
      <c r="M61" s="198"/>
      <c r="N61" s="198"/>
      <c r="O61" s="198"/>
      <c r="P61" s="198" t="s">
        <v>146</v>
      </c>
      <c r="Q61" s="198"/>
      <c r="R61" s="198"/>
      <c r="S61" s="198"/>
      <c r="T61" s="211" t="s">
        <v>146</v>
      </c>
    </row>
    <row r="62" spans="1:20" ht="13.5" customHeight="1">
      <c r="A62" s="305"/>
      <c r="B62" s="306"/>
      <c r="C62" s="307"/>
      <c r="D62" s="308" t="s">
        <v>199</v>
      </c>
      <c r="E62" s="309"/>
      <c r="F62" s="310"/>
      <c r="G62" s="310"/>
      <c r="H62" s="310"/>
      <c r="I62" s="310"/>
      <c r="J62" s="310" t="s">
        <v>146</v>
      </c>
      <c r="K62" s="310"/>
      <c r="L62" s="310"/>
      <c r="M62" s="310"/>
      <c r="N62" s="310"/>
      <c r="O62" s="310"/>
      <c r="P62" s="310"/>
      <c r="Q62" s="310"/>
      <c r="R62" s="310"/>
      <c r="S62" s="310"/>
      <c r="T62" s="310"/>
    </row>
    <row r="63" spans="1:20" ht="13.5" customHeight="1" thickBot="1"/>
    <row r="64" spans="1:20" ht="13.5" customHeight="1" thickTop="1">
      <c r="A64" s="221" t="s">
        <v>68</v>
      </c>
      <c r="B64" s="290" t="s">
        <v>69</v>
      </c>
      <c r="C64" s="291"/>
      <c r="D64" s="294"/>
      <c r="E64" s="199"/>
      <c r="F64" s="200" t="s">
        <v>72</v>
      </c>
      <c r="G64" s="200" t="s">
        <v>70</v>
      </c>
      <c r="H64" s="200" t="s">
        <v>71</v>
      </c>
      <c r="I64" s="200" t="s">
        <v>70</v>
      </c>
      <c r="J64" s="200" t="s">
        <v>72</v>
      </c>
      <c r="K64" s="200" t="s">
        <v>72</v>
      </c>
      <c r="L64" s="200" t="s">
        <v>72</v>
      </c>
      <c r="M64" s="200" t="s">
        <v>72</v>
      </c>
      <c r="N64" s="200" t="s">
        <v>72</v>
      </c>
      <c r="O64" s="200" t="s">
        <v>72</v>
      </c>
      <c r="P64" s="200" t="s">
        <v>70</v>
      </c>
      <c r="Q64" s="200" t="s">
        <v>70</v>
      </c>
      <c r="R64" s="200" t="s">
        <v>72</v>
      </c>
      <c r="S64" s="200" t="s">
        <v>70</v>
      </c>
      <c r="T64" s="212" t="s">
        <v>71</v>
      </c>
    </row>
    <row r="65" spans="1:20" ht="13.5" customHeight="1">
      <c r="A65" s="220"/>
      <c r="B65" s="292" t="s">
        <v>73</v>
      </c>
      <c r="C65" s="293"/>
      <c r="D65" s="297"/>
      <c r="E65" s="110"/>
      <c r="F65" s="180" t="s">
        <v>74</v>
      </c>
      <c r="G65" s="180" t="s">
        <v>74</v>
      </c>
      <c r="H65" s="180" t="s">
        <v>74</v>
      </c>
      <c r="I65" s="180" t="s">
        <v>74</v>
      </c>
      <c r="J65" s="180" t="s">
        <v>74</v>
      </c>
      <c r="K65" s="180" t="s">
        <v>74</v>
      </c>
      <c r="L65" s="180" t="s">
        <v>74</v>
      </c>
      <c r="M65" s="180" t="s">
        <v>74</v>
      </c>
      <c r="N65" s="180" t="s">
        <v>74</v>
      </c>
      <c r="O65" s="180" t="s">
        <v>74</v>
      </c>
      <c r="P65" s="180" t="s">
        <v>74</v>
      </c>
      <c r="Q65" s="180" t="s">
        <v>74</v>
      </c>
      <c r="R65" s="180" t="s">
        <v>74</v>
      </c>
      <c r="S65" s="180" t="s">
        <v>74</v>
      </c>
      <c r="T65" s="214" t="s">
        <v>74</v>
      </c>
    </row>
    <row r="66" spans="1:20" ht="13.5" customHeight="1" thickBot="1">
      <c r="A66" s="220"/>
      <c r="B66" s="295" t="s">
        <v>76</v>
      </c>
      <c r="C66" s="296"/>
      <c r="D66" s="300"/>
      <c r="E66" s="111"/>
      <c r="F66" s="112">
        <v>39139</v>
      </c>
      <c r="G66" s="112">
        <v>39139</v>
      </c>
      <c r="H66" s="112">
        <v>39140</v>
      </c>
      <c r="I66" s="112">
        <v>39141</v>
      </c>
      <c r="J66" s="112">
        <v>39142</v>
      </c>
      <c r="K66" s="112">
        <v>39143</v>
      </c>
      <c r="L66" s="112">
        <v>39144</v>
      </c>
      <c r="M66" s="112">
        <v>39145</v>
      </c>
      <c r="N66" s="112">
        <v>39146</v>
      </c>
      <c r="O66" s="112">
        <v>39147</v>
      </c>
      <c r="P66" s="112">
        <v>39148</v>
      </c>
      <c r="Q66" s="112">
        <v>39149</v>
      </c>
      <c r="R66" s="112">
        <v>39150</v>
      </c>
      <c r="S66" s="112">
        <v>39151</v>
      </c>
      <c r="T66" s="215">
        <v>39152</v>
      </c>
    </row>
    <row r="67" spans="1:20" ht="81" thickTop="1" thickBot="1">
      <c r="A67" s="240"/>
      <c r="B67" s="298" t="s">
        <v>77</v>
      </c>
      <c r="C67" s="299"/>
      <c r="E67" s="217"/>
      <c r="F67" s="218"/>
      <c r="G67" s="218"/>
      <c r="H67" s="218"/>
      <c r="I67" s="218"/>
      <c r="J67" s="218"/>
      <c r="K67" s="218" t="s">
        <v>78</v>
      </c>
      <c r="L67" s="218" t="s">
        <v>79</v>
      </c>
      <c r="M67" s="218" t="s">
        <v>80</v>
      </c>
      <c r="N67" s="218" t="s">
        <v>81</v>
      </c>
      <c r="O67" s="218" t="s">
        <v>82</v>
      </c>
      <c r="P67" s="218" t="s">
        <v>83</v>
      </c>
      <c r="Q67" s="218" t="s">
        <v>84</v>
      </c>
      <c r="R67" s="218" t="s">
        <v>85</v>
      </c>
      <c r="S67" s="218" t="s">
        <v>86</v>
      </c>
      <c r="T67" s="219" t="s">
        <v>87</v>
      </c>
    </row>
    <row r="68" spans="1:20" ht="12" thickTop="1">
      <c r="A68" s="201"/>
    </row>
  </sheetData>
  <mergeCells count="21">
    <mergeCell ref="D27:E27"/>
    <mergeCell ref="A2:B2"/>
    <mergeCell ref="C2:E2"/>
    <mergeCell ref="F2:K2"/>
    <mergeCell ref="F7:K7"/>
    <mergeCell ref="C7:E7"/>
    <mergeCell ref="A7:B7"/>
    <mergeCell ref="A3:B3"/>
    <mergeCell ref="A4:B4"/>
    <mergeCell ref="C3:E3"/>
    <mergeCell ref="A6:B6"/>
    <mergeCell ref="A5:B5"/>
    <mergeCell ref="L6:N6"/>
    <mergeCell ref="O6:T6"/>
    <mergeCell ref="L2:T2"/>
    <mergeCell ref="L3:N3"/>
    <mergeCell ref="C6:E6"/>
    <mergeCell ref="F3:K3"/>
    <mergeCell ref="L4:T4"/>
    <mergeCell ref="F6:K6"/>
    <mergeCell ref="F4:K4"/>
  </mergeCells>
  <phoneticPr fontId="34" type="noConversion"/>
  <dataValidations count="3">
    <dataValidation type="list" allowBlank="1" showInputMessage="1" showErrorMessage="1" sqref="F64:T64" xr:uid="{00000000-0002-0000-0400-000000000000}">
      <formula1>"N,A,B, "</formula1>
    </dataValidation>
    <dataValidation type="list" allowBlank="1" showInputMessage="1" showErrorMessage="1" sqref="F65:T65" xr:uid="{00000000-0002-0000-0400-000001000000}">
      <formula1>"P,F, "</formula1>
    </dataValidation>
    <dataValidation type="list" allowBlank="1" showInputMessage="1" showErrorMessage="1" sqref="F10:T62" xr:uid="{00000000-0002-0000-0400-000002000000}">
      <formula1>"O, "</formula1>
    </dataValidation>
  </dataValidations>
  <hyperlinks>
    <hyperlink ref="D37" r:id="rId1" xr:uid="{00000000-0004-0000-0400-000000000000}"/>
    <hyperlink ref="D38" r:id="rId2" xr:uid="{00000000-0004-0000-0400-000001000000}"/>
    <hyperlink ref="D39" r:id="rId3" xr:uid="{00000000-0004-0000-0400-000002000000}"/>
    <hyperlink ref="D43" r:id="rId4" display="dattran@fpt.edu.vn" xr:uid="{00000000-0004-0000-0400-000003000000}"/>
    <hyperlink ref="D44" r:id="rId5" xr:uid="{372325AD-A7CC-6146-A10B-273F74981262}"/>
    <hyperlink ref="D45" r:id="rId6" xr:uid="{29AA300F-A7B2-E543-BB7F-D18950F222F1}"/>
  </hyperlink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3"/>
  <sheetViews>
    <sheetView zoomScale="99" workbookViewId="0">
      <pane ySplit="9" topLeftCell="A10" activePane="bottomLeft" state="frozen"/>
      <selection pane="bottomLeft" activeCell="D16" sqref="D16:D18"/>
    </sheetView>
  </sheetViews>
  <sheetFormatPr baseColWidth="10" defaultColWidth="9" defaultRowHeight="13.5" customHeight="1"/>
  <cols>
    <col min="1" max="1" width="8.1640625" style="78" customWidth="1"/>
    <col min="2" max="2" width="13.33203125" style="82" customWidth="1"/>
    <col min="3" max="3" width="10.83203125" style="78" customWidth="1"/>
    <col min="4" max="4" width="11.33203125" style="79" customWidth="1"/>
    <col min="5" max="5" width="1.83203125" style="78" hidden="1" customWidth="1"/>
    <col min="6" max="7" width="2.83203125" style="78" bestFit="1" customWidth="1"/>
    <col min="8" max="8" width="2.83203125" style="78" customWidth="1"/>
    <col min="9" max="10" width="2.83203125" style="78" bestFit="1" customWidth="1"/>
    <col min="11" max="19" width="2.83203125" style="78" customWidth="1"/>
    <col min="20" max="20" width="2.83203125" style="78" bestFit="1" customWidth="1"/>
    <col min="21" max="21" width="2.83203125" style="78" customWidth="1"/>
    <col min="22" max="16384" width="9" style="78"/>
  </cols>
  <sheetData>
    <row r="1" spans="1:22" ht="22.5" customHeight="1" thickBot="1">
      <c r="D1" s="184"/>
    </row>
    <row r="2" spans="1:22" ht="15" customHeight="1">
      <c r="A2" s="383" t="s">
        <v>104</v>
      </c>
      <c r="B2" s="384"/>
      <c r="C2" s="387" t="str">
        <f>Functions!E12</f>
        <v>Function2</v>
      </c>
      <c r="D2" s="389"/>
      <c r="E2" s="185"/>
      <c r="F2" s="384" t="s">
        <v>23</v>
      </c>
      <c r="G2" s="384"/>
      <c r="H2" s="384"/>
      <c r="I2" s="384"/>
      <c r="J2" s="384"/>
      <c r="K2" s="384"/>
      <c r="L2" s="387" t="str">
        <f>Functions!D12</f>
        <v>Function B</v>
      </c>
      <c r="M2" s="387"/>
      <c r="N2" s="387"/>
      <c r="O2" s="387"/>
      <c r="P2" s="387"/>
      <c r="Q2" s="387"/>
      <c r="R2" s="387"/>
      <c r="S2" s="387"/>
      <c r="T2" s="388"/>
    </row>
    <row r="3" spans="1:22" ht="13.5" customHeight="1">
      <c r="A3" s="375" t="s">
        <v>105</v>
      </c>
      <c r="B3" s="376"/>
      <c r="C3" s="369" t="s">
        <v>45</v>
      </c>
      <c r="D3" s="343"/>
      <c r="E3" s="370"/>
      <c r="F3" s="390" t="s">
        <v>106</v>
      </c>
      <c r="G3" s="391"/>
      <c r="H3" s="391"/>
      <c r="I3" s="391"/>
      <c r="J3" s="391"/>
      <c r="K3" s="392"/>
      <c r="L3" s="343"/>
      <c r="M3" s="343"/>
      <c r="N3" s="343"/>
      <c r="O3" s="181"/>
      <c r="P3" s="181"/>
      <c r="Q3" s="181"/>
      <c r="R3" s="181"/>
      <c r="S3" s="181"/>
      <c r="T3" s="182"/>
    </row>
    <row r="4" spans="1:22" ht="13.5" customHeight="1">
      <c r="A4" s="367" t="s">
        <v>107</v>
      </c>
      <c r="B4" s="368"/>
      <c r="C4" s="377">
        <v>300</v>
      </c>
      <c r="D4" s="378"/>
      <c r="E4" s="193"/>
      <c r="F4" s="346" t="s">
        <v>108</v>
      </c>
      <c r="G4" s="347"/>
      <c r="H4" s="347"/>
      <c r="I4" s="347"/>
      <c r="J4" s="347"/>
      <c r="K4" s="348"/>
      <c r="L4" s="349">
        <f xml:space="preserve"> IF(Functions!E6&lt;&gt;"N/A",SUM(C4*Functions!E6/1000,- O7),"N/A")</f>
        <v>15</v>
      </c>
      <c r="M4" s="350"/>
      <c r="N4" s="350"/>
      <c r="O4" s="350"/>
      <c r="P4" s="350"/>
      <c r="Q4" s="350"/>
      <c r="R4" s="350"/>
      <c r="S4" s="350"/>
      <c r="T4" s="351"/>
      <c r="V4" s="80"/>
    </row>
    <row r="5" spans="1:22" ht="13.5" customHeight="1">
      <c r="A5" s="367" t="s">
        <v>109</v>
      </c>
      <c r="B5" s="368"/>
      <c r="C5" s="380" t="s">
        <v>103</v>
      </c>
      <c r="D5" s="380"/>
      <c r="E5" s="380"/>
      <c r="F5" s="381"/>
      <c r="G5" s="381"/>
      <c r="H5" s="381"/>
      <c r="I5" s="381"/>
      <c r="J5" s="381"/>
      <c r="K5" s="381"/>
      <c r="L5" s="380"/>
      <c r="M5" s="380"/>
      <c r="N5" s="380"/>
      <c r="O5" s="380"/>
      <c r="P5" s="380"/>
      <c r="Q5" s="380"/>
      <c r="R5" s="380"/>
      <c r="S5" s="380"/>
      <c r="T5" s="380"/>
    </row>
    <row r="6" spans="1:22" ht="13.5" customHeight="1">
      <c r="A6" s="371" t="s">
        <v>34</v>
      </c>
      <c r="B6" s="372"/>
      <c r="C6" s="344" t="s">
        <v>35</v>
      </c>
      <c r="D6" s="337"/>
      <c r="E6" s="345"/>
      <c r="F6" s="344" t="s">
        <v>36</v>
      </c>
      <c r="G6" s="337"/>
      <c r="H6" s="337"/>
      <c r="I6" s="337"/>
      <c r="J6" s="337"/>
      <c r="K6" s="352"/>
      <c r="L6" s="337" t="s">
        <v>110</v>
      </c>
      <c r="M6" s="337"/>
      <c r="N6" s="337"/>
      <c r="O6" s="338" t="s">
        <v>37</v>
      </c>
      <c r="P6" s="337"/>
      <c r="Q6" s="337"/>
      <c r="R6" s="337"/>
      <c r="S6" s="337"/>
      <c r="T6" s="339"/>
      <c r="V6" s="80"/>
    </row>
    <row r="7" spans="1:22" ht="13.5" customHeight="1" thickBot="1">
      <c r="A7" s="366">
        <f>COUNTIF(F40:HQ40,"P")</f>
        <v>12</v>
      </c>
      <c r="B7" s="365"/>
      <c r="C7" s="362">
        <f>COUNTIF(F40:HQ40,"F")</f>
        <v>3</v>
      </c>
      <c r="D7" s="363"/>
      <c r="E7" s="365"/>
      <c r="F7" s="362">
        <f>SUM(O7,- A7,- C7)</f>
        <v>0</v>
      </c>
      <c r="G7" s="363"/>
      <c r="H7" s="363"/>
      <c r="I7" s="363"/>
      <c r="J7" s="363"/>
      <c r="K7" s="364"/>
      <c r="L7" s="183">
        <f>COUNTIF(E39:HQ39,"N")</f>
        <v>12</v>
      </c>
      <c r="M7" s="183">
        <f>COUNTIF(E39:HQ39,"A")</f>
        <v>2</v>
      </c>
      <c r="N7" s="183">
        <f>COUNTIF(E39:HQ39,"B")</f>
        <v>1</v>
      </c>
      <c r="O7" s="385">
        <f>COUNTA(E9:HT9)</f>
        <v>15</v>
      </c>
      <c r="P7" s="363"/>
      <c r="Q7" s="363"/>
      <c r="R7" s="363"/>
      <c r="S7" s="363"/>
      <c r="T7" s="386"/>
      <c r="U7" s="81"/>
    </row>
    <row r="8" spans="1:22" ht="12" thickBot="1"/>
    <row r="9" spans="1:22" ht="45" thickTop="1" thickBot="1">
      <c r="A9" s="228"/>
      <c r="B9" s="229"/>
      <c r="C9" s="230"/>
      <c r="D9" s="231"/>
      <c r="E9" s="230"/>
      <c r="F9" s="232" t="s">
        <v>46</v>
      </c>
      <c r="G9" s="232" t="s">
        <v>47</v>
      </c>
      <c r="H9" s="232" t="s">
        <v>48</v>
      </c>
      <c r="I9" s="232" t="s">
        <v>49</v>
      </c>
      <c r="J9" s="232" t="s">
        <v>50</v>
      </c>
      <c r="K9" s="232" t="s">
        <v>51</v>
      </c>
      <c r="L9" s="232" t="s">
        <v>52</v>
      </c>
      <c r="M9" s="232" t="s">
        <v>53</v>
      </c>
      <c r="N9" s="232" t="s">
        <v>54</v>
      </c>
      <c r="O9" s="232" t="s">
        <v>55</v>
      </c>
      <c r="P9" s="232" t="s">
        <v>56</v>
      </c>
      <c r="Q9" s="232" t="s">
        <v>57</v>
      </c>
      <c r="R9" s="232" t="s">
        <v>58</v>
      </c>
      <c r="S9" s="232" t="s">
        <v>59</v>
      </c>
      <c r="T9" s="233" t="s">
        <v>60</v>
      </c>
      <c r="U9" s="83"/>
      <c r="V9" s="80"/>
    </row>
    <row r="10" spans="1:22" ht="13.5" customHeight="1">
      <c r="A10" s="222" t="s">
        <v>111</v>
      </c>
      <c r="B10" s="84" t="s">
        <v>97</v>
      </c>
      <c r="C10" s="85"/>
      <c r="D10" s="86"/>
      <c r="E10" s="87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234"/>
    </row>
    <row r="11" spans="1:22" ht="13.5" customHeight="1">
      <c r="A11" s="208"/>
      <c r="B11" s="84"/>
      <c r="C11" s="85"/>
      <c r="D11" s="86" t="s">
        <v>61</v>
      </c>
      <c r="E11" s="89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234"/>
      <c r="V11" s="80"/>
    </row>
    <row r="12" spans="1:22" ht="13.5" customHeight="1">
      <c r="A12" s="208"/>
      <c r="B12" s="84"/>
      <c r="C12" s="85"/>
      <c r="D12" s="86"/>
      <c r="E12" s="89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234"/>
    </row>
    <row r="13" spans="1:22" ht="13.5" customHeight="1">
      <c r="A13" s="208"/>
      <c r="B13" s="84"/>
      <c r="C13" s="85"/>
      <c r="D13" s="86"/>
      <c r="E13" s="90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234"/>
      <c r="V13" s="80"/>
    </row>
    <row r="14" spans="1:22" ht="13.5" customHeight="1">
      <c r="A14" s="208"/>
      <c r="B14" s="84" t="s">
        <v>98</v>
      </c>
      <c r="C14" s="85"/>
      <c r="D14" s="86"/>
      <c r="E14" s="91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234"/>
    </row>
    <row r="15" spans="1:22" ht="13.5" customHeight="1">
      <c r="A15" s="208"/>
      <c r="B15" s="84"/>
      <c r="C15" s="85"/>
      <c r="D15" s="86" t="s">
        <v>62</v>
      </c>
      <c r="E15" s="91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234"/>
    </row>
    <row r="16" spans="1:22" ht="13.5" customHeight="1">
      <c r="A16" s="208"/>
      <c r="B16" s="84"/>
      <c r="C16" s="85"/>
      <c r="D16" s="86" t="s">
        <v>63</v>
      </c>
      <c r="E16" s="91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234"/>
    </row>
    <row r="17" spans="1:21" ht="13.5" customHeight="1">
      <c r="A17" s="208"/>
      <c r="B17" s="84"/>
      <c r="C17" s="85"/>
      <c r="D17" s="86" t="s">
        <v>64</v>
      </c>
      <c r="E17" s="91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234"/>
      <c r="U17" s="92"/>
    </row>
    <row r="18" spans="1:21" ht="13.5" customHeight="1">
      <c r="A18" s="208"/>
      <c r="B18" s="84" t="s">
        <v>99</v>
      </c>
      <c r="C18" s="85"/>
      <c r="D18" s="86"/>
      <c r="E18" s="91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234"/>
      <c r="U18" s="92"/>
    </row>
    <row r="19" spans="1:21" ht="13.5" customHeight="1">
      <c r="A19" s="208"/>
      <c r="B19" s="84"/>
      <c r="C19" s="85"/>
      <c r="D19" s="353" t="s">
        <v>65</v>
      </c>
      <c r="E19" s="353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234"/>
    </row>
    <row r="20" spans="1:21" ht="13.5" customHeight="1">
      <c r="A20" s="208"/>
      <c r="B20" s="84"/>
      <c r="C20" s="85"/>
      <c r="D20" s="86">
        <v>5</v>
      </c>
      <c r="E20" s="91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234"/>
    </row>
    <row r="21" spans="1:21" ht="13.5" customHeight="1">
      <c r="A21" s="208"/>
      <c r="B21" s="84"/>
      <c r="C21" s="85"/>
      <c r="D21" s="86">
        <v>10</v>
      </c>
      <c r="E21" s="91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234"/>
    </row>
    <row r="22" spans="1:21" ht="13.5" customHeight="1">
      <c r="A22" s="208"/>
      <c r="B22" s="84"/>
      <c r="C22" s="85"/>
      <c r="D22" s="86"/>
      <c r="E22" s="91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234"/>
    </row>
    <row r="23" spans="1:21" ht="13.5" customHeight="1">
      <c r="A23" s="208"/>
      <c r="B23" s="84"/>
      <c r="C23" s="85"/>
      <c r="D23" s="86"/>
      <c r="E23" s="91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234"/>
    </row>
    <row r="24" spans="1:21" ht="13.5" customHeight="1">
      <c r="A24" s="208"/>
      <c r="B24" s="84"/>
      <c r="C24" s="85"/>
      <c r="D24" s="86"/>
      <c r="E24" s="91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234"/>
    </row>
    <row r="25" spans="1:21" ht="13.5" customHeight="1">
      <c r="A25" s="208"/>
      <c r="B25" s="84"/>
      <c r="C25" s="85"/>
      <c r="D25" s="86"/>
      <c r="E25" s="91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234"/>
    </row>
    <row r="26" spans="1:21" ht="13.5" customHeight="1">
      <c r="A26" s="208"/>
      <c r="B26" s="84"/>
      <c r="C26" s="85"/>
      <c r="D26" s="86"/>
      <c r="E26" s="91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234"/>
    </row>
    <row r="27" spans="1:21" ht="13.5" customHeight="1">
      <c r="A27" s="208"/>
      <c r="B27" s="84"/>
      <c r="C27" s="85"/>
      <c r="D27" s="86"/>
      <c r="E27" s="91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234"/>
    </row>
    <row r="28" spans="1:21" ht="13.5" customHeight="1">
      <c r="A28" s="208"/>
      <c r="B28" s="84"/>
      <c r="C28" s="85"/>
      <c r="D28" s="86"/>
      <c r="E28" s="91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234"/>
    </row>
    <row r="29" spans="1:21" ht="13.5" customHeight="1">
      <c r="A29" s="208"/>
      <c r="B29" s="84"/>
      <c r="C29" s="85"/>
      <c r="D29" s="86"/>
      <c r="E29" s="91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234"/>
    </row>
    <row r="30" spans="1:21" ht="13.5" customHeight="1" thickBot="1">
      <c r="A30" s="208"/>
      <c r="B30" s="93"/>
      <c r="C30" s="94"/>
      <c r="D30" s="95"/>
      <c r="E30" s="96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235"/>
    </row>
    <row r="31" spans="1:21" ht="13.5" customHeight="1" thickTop="1">
      <c r="A31" s="221" t="s">
        <v>115</v>
      </c>
      <c r="B31" s="98" t="s">
        <v>100</v>
      </c>
      <c r="C31" s="99"/>
      <c r="D31" s="100"/>
      <c r="E31" s="101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236"/>
    </row>
    <row r="32" spans="1:21" ht="13.5" customHeight="1">
      <c r="A32" s="220"/>
      <c r="B32" s="103"/>
      <c r="C32" s="104"/>
      <c r="D32" s="105">
        <v>1</v>
      </c>
      <c r="E32" s="106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234"/>
    </row>
    <row r="33" spans="1:20" ht="13.5" customHeight="1">
      <c r="A33" s="220"/>
      <c r="B33" s="103"/>
      <c r="C33" s="107"/>
      <c r="D33" s="105">
        <v>2</v>
      </c>
      <c r="E33" s="10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234"/>
    </row>
    <row r="34" spans="1:20" ht="13.5" customHeight="1">
      <c r="A34" s="220"/>
      <c r="B34" s="103" t="s">
        <v>101</v>
      </c>
      <c r="C34" s="107"/>
      <c r="D34" s="105"/>
      <c r="E34" s="10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234"/>
    </row>
    <row r="35" spans="1:20" ht="13.5" customHeight="1">
      <c r="A35" s="220"/>
      <c r="B35" s="103"/>
      <c r="C35" s="107"/>
      <c r="D35" s="105"/>
      <c r="E35" s="10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234"/>
    </row>
    <row r="36" spans="1:20" ht="13.5" customHeight="1">
      <c r="A36" s="220"/>
      <c r="B36" s="103" t="s">
        <v>102</v>
      </c>
      <c r="C36" s="107"/>
      <c r="D36" s="105"/>
      <c r="E36" s="10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234"/>
    </row>
    <row r="37" spans="1:20" ht="13.5" customHeight="1">
      <c r="A37" s="220"/>
      <c r="B37" s="103"/>
      <c r="C37" s="107"/>
      <c r="D37" s="105" t="s">
        <v>66</v>
      </c>
      <c r="E37" s="10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234"/>
    </row>
    <row r="38" spans="1:20" ht="13.5" customHeight="1" thickBot="1">
      <c r="A38" s="220"/>
      <c r="B38" s="194"/>
      <c r="C38" s="195"/>
      <c r="D38" s="196" t="s">
        <v>67</v>
      </c>
      <c r="E38" s="197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37"/>
    </row>
    <row r="39" spans="1:20" ht="13.5" customHeight="1" thickTop="1">
      <c r="A39" s="221" t="s">
        <v>68</v>
      </c>
      <c r="B39" s="374" t="s">
        <v>69</v>
      </c>
      <c r="C39" s="374"/>
      <c r="D39" s="374"/>
      <c r="E39" s="199"/>
      <c r="F39" s="227" t="s">
        <v>70</v>
      </c>
      <c r="G39" s="227" t="s">
        <v>70</v>
      </c>
      <c r="H39" s="227" t="s">
        <v>70</v>
      </c>
      <c r="I39" s="227" t="s">
        <v>70</v>
      </c>
      <c r="J39" s="227" t="s">
        <v>70</v>
      </c>
      <c r="K39" s="227" t="s">
        <v>71</v>
      </c>
      <c r="L39" s="227" t="s">
        <v>72</v>
      </c>
      <c r="M39" s="227" t="s">
        <v>70</v>
      </c>
      <c r="N39" s="227" t="s">
        <v>70</v>
      </c>
      <c r="O39" s="227" t="s">
        <v>70</v>
      </c>
      <c r="P39" s="227" t="s">
        <v>70</v>
      </c>
      <c r="Q39" s="227" t="s">
        <v>70</v>
      </c>
      <c r="R39" s="227" t="s">
        <v>72</v>
      </c>
      <c r="S39" s="227" t="s">
        <v>70</v>
      </c>
      <c r="T39" s="238" t="s">
        <v>70</v>
      </c>
    </row>
    <row r="40" spans="1:20" ht="13.5" customHeight="1">
      <c r="A40" s="220"/>
      <c r="B40" s="379" t="s">
        <v>73</v>
      </c>
      <c r="C40" s="379"/>
      <c r="D40" s="379"/>
      <c r="E40" s="110"/>
      <c r="F40" s="109" t="s">
        <v>74</v>
      </c>
      <c r="G40" s="109" t="s">
        <v>74</v>
      </c>
      <c r="H40" s="109" t="s">
        <v>74</v>
      </c>
      <c r="I40" s="109" t="s">
        <v>74</v>
      </c>
      <c r="J40" s="109" t="s">
        <v>74</v>
      </c>
      <c r="K40" s="109" t="s">
        <v>75</v>
      </c>
      <c r="L40" s="109" t="s">
        <v>75</v>
      </c>
      <c r="M40" s="109" t="s">
        <v>74</v>
      </c>
      <c r="N40" s="109" t="s">
        <v>74</v>
      </c>
      <c r="O40" s="109" t="s">
        <v>74</v>
      </c>
      <c r="P40" s="109" t="s">
        <v>74</v>
      </c>
      <c r="Q40" s="109" t="s">
        <v>74</v>
      </c>
      <c r="R40" s="109" t="s">
        <v>75</v>
      </c>
      <c r="S40" s="109" t="s">
        <v>74</v>
      </c>
      <c r="T40" s="239" t="s">
        <v>74</v>
      </c>
    </row>
    <row r="41" spans="1:20" ht="13.5" customHeight="1">
      <c r="A41" s="220"/>
      <c r="B41" s="382" t="s">
        <v>76</v>
      </c>
      <c r="C41" s="382"/>
      <c r="D41" s="382"/>
      <c r="E41" s="111"/>
      <c r="F41" s="112">
        <v>39139</v>
      </c>
      <c r="G41" s="112">
        <v>39139</v>
      </c>
      <c r="H41" s="112">
        <v>39140</v>
      </c>
      <c r="I41" s="112">
        <v>39141</v>
      </c>
      <c r="J41" s="112">
        <v>39142</v>
      </c>
      <c r="K41" s="112">
        <v>39143</v>
      </c>
      <c r="L41" s="112">
        <v>39144</v>
      </c>
      <c r="M41" s="112">
        <v>39145</v>
      </c>
      <c r="N41" s="112">
        <v>39146</v>
      </c>
      <c r="O41" s="112">
        <v>39147</v>
      </c>
      <c r="P41" s="112">
        <v>39148</v>
      </c>
      <c r="Q41" s="112">
        <v>39149</v>
      </c>
      <c r="R41" s="112">
        <v>39150</v>
      </c>
      <c r="S41" s="112">
        <v>39151</v>
      </c>
      <c r="T41" s="215">
        <v>39152</v>
      </c>
    </row>
    <row r="42" spans="1:20" ht="80" thickBot="1">
      <c r="A42" s="240"/>
      <c r="B42" s="373" t="s">
        <v>77</v>
      </c>
      <c r="C42" s="373"/>
      <c r="D42" s="373"/>
      <c r="E42" s="217"/>
      <c r="F42" s="218"/>
      <c r="G42" s="218"/>
      <c r="H42" s="218"/>
      <c r="I42" s="218"/>
      <c r="J42" s="218"/>
      <c r="K42" s="218" t="s">
        <v>78</v>
      </c>
      <c r="L42" s="218" t="s">
        <v>79</v>
      </c>
      <c r="M42" s="218" t="s">
        <v>80</v>
      </c>
      <c r="N42" s="218" t="s">
        <v>81</v>
      </c>
      <c r="O42" s="218" t="s">
        <v>82</v>
      </c>
      <c r="P42" s="218" t="s">
        <v>83</v>
      </c>
      <c r="Q42" s="218" t="s">
        <v>84</v>
      </c>
      <c r="R42" s="218" t="s">
        <v>85</v>
      </c>
      <c r="S42" s="218" t="s">
        <v>86</v>
      </c>
      <c r="T42" s="219" t="s">
        <v>87</v>
      </c>
    </row>
    <row r="43" spans="1:20" ht="12" thickTop="1">
      <c r="A43" s="82"/>
      <c r="B43" s="78"/>
      <c r="C43" s="79"/>
      <c r="D43" s="78"/>
    </row>
  </sheetData>
  <mergeCells count="28">
    <mergeCell ref="A2:B2"/>
    <mergeCell ref="O7:T7"/>
    <mergeCell ref="F2:K2"/>
    <mergeCell ref="L2:T2"/>
    <mergeCell ref="C2:D2"/>
    <mergeCell ref="O6:T6"/>
    <mergeCell ref="L3:N3"/>
    <mergeCell ref="C6:E6"/>
    <mergeCell ref="F3:K3"/>
    <mergeCell ref="L4:T4"/>
    <mergeCell ref="F6:K6"/>
    <mergeCell ref="F4:K4"/>
    <mergeCell ref="L6:N6"/>
    <mergeCell ref="F7:K7"/>
    <mergeCell ref="C7:E7"/>
    <mergeCell ref="B42:D42"/>
    <mergeCell ref="B39:D39"/>
    <mergeCell ref="C3:E3"/>
    <mergeCell ref="A3:B3"/>
    <mergeCell ref="A4:B4"/>
    <mergeCell ref="C4:D4"/>
    <mergeCell ref="D19:E19"/>
    <mergeCell ref="A6:B6"/>
    <mergeCell ref="B40:D40"/>
    <mergeCell ref="A5:B5"/>
    <mergeCell ref="C5:T5"/>
    <mergeCell ref="B41:D41"/>
    <mergeCell ref="A7:B7"/>
  </mergeCells>
  <phoneticPr fontId="34" type="noConversion"/>
  <dataValidations count="3">
    <dataValidation type="list" allowBlank="1" showInputMessage="1" showErrorMessage="1" sqref="F39:T39" xr:uid="{00000000-0002-0000-0500-000000000000}">
      <formula1>"N,A,B, "</formula1>
    </dataValidation>
    <dataValidation type="list" allowBlank="1" showInputMessage="1" showErrorMessage="1" sqref="F40:T40" xr:uid="{00000000-0002-0000-0500-000001000000}">
      <formula1>"P,F, "</formula1>
    </dataValidation>
    <dataValidation type="list" allowBlank="1" showInputMessage="1" showErrorMessage="1" sqref="F10:T38" xr:uid="{00000000-0002-0000-0500-000002000000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43"/>
  <sheetViews>
    <sheetView workbookViewId="0">
      <pane ySplit="9" topLeftCell="A10" activePane="bottomLeft" state="frozen"/>
      <selection pane="bottomLeft" activeCell="A10" sqref="A10"/>
    </sheetView>
  </sheetViews>
  <sheetFormatPr baseColWidth="10" defaultColWidth="9" defaultRowHeight="13.5" customHeight="1"/>
  <cols>
    <col min="1" max="1" width="6.83203125" style="113" customWidth="1"/>
    <col min="2" max="2" width="13.33203125" style="117" customWidth="1"/>
    <col min="3" max="3" width="10.83203125" style="113" customWidth="1"/>
    <col min="4" max="4" width="11.33203125" style="114" customWidth="1"/>
    <col min="5" max="5" width="1.83203125" style="113" hidden="1" customWidth="1"/>
    <col min="6" max="7" width="2.83203125" style="113" bestFit="1" customWidth="1"/>
    <col min="8" max="8" width="2.83203125" style="113" customWidth="1"/>
    <col min="9" max="10" width="2.83203125" style="113" bestFit="1" customWidth="1"/>
    <col min="11" max="19" width="2.83203125" style="113" customWidth="1"/>
    <col min="20" max="20" width="2.83203125" style="113" bestFit="1" customWidth="1"/>
    <col min="21" max="21" width="2.83203125" style="113" customWidth="1"/>
    <col min="22" max="16384" width="9" style="113"/>
  </cols>
  <sheetData>
    <row r="1" spans="1:23" ht="13.5" customHeight="1" thickBot="1"/>
    <row r="2" spans="1:23" ht="13.5" customHeight="1">
      <c r="A2" s="383" t="s">
        <v>104</v>
      </c>
      <c r="B2" s="384"/>
      <c r="C2" s="387" t="str">
        <f>Functions!E13</f>
        <v>Function3</v>
      </c>
      <c r="D2" s="389"/>
      <c r="F2" s="384" t="s">
        <v>23</v>
      </c>
      <c r="G2" s="384"/>
      <c r="H2" s="384"/>
      <c r="I2" s="384"/>
      <c r="J2" s="384"/>
      <c r="K2" s="384"/>
      <c r="L2" s="420" t="str">
        <f>Functions!D13</f>
        <v>Function C</v>
      </c>
      <c r="M2" s="421"/>
      <c r="N2" s="421"/>
      <c r="O2" s="421"/>
      <c r="P2" s="421"/>
      <c r="Q2" s="421"/>
      <c r="R2" s="421"/>
      <c r="S2" s="421"/>
      <c r="T2" s="422"/>
    </row>
    <row r="3" spans="1:23" ht="13.5" customHeight="1">
      <c r="A3" s="401" t="s">
        <v>105</v>
      </c>
      <c r="B3" s="402"/>
      <c r="C3" s="395" t="s">
        <v>45</v>
      </c>
      <c r="D3" s="396"/>
      <c r="E3" s="397"/>
      <c r="F3" s="417" t="s">
        <v>106</v>
      </c>
      <c r="G3" s="418"/>
      <c r="H3" s="418"/>
      <c r="I3" s="418"/>
      <c r="J3" s="418"/>
      <c r="K3" s="419"/>
      <c r="L3" s="396"/>
      <c r="M3" s="396"/>
      <c r="N3" s="396"/>
      <c r="O3" s="247"/>
      <c r="P3" s="247"/>
      <c r="Q3" s="247"/>
      <c r="R3" s="247"/>
      <c r="S3" s="247"/>
      <c r="T3" s="248"/>
    </row>
    <row r="4" spans="1:23" ht="13.5" customHeight="1">
      <c r="A4" s="401" t="s">
        <v>107</v>
      </c>
      <c r="B4" s="402"/>
      <c r="C4" s="429">
        <v>300</v>
      </c>
      <c r="D4" s="430"/>
      <c r="E4" s="249"/>
      <c r="F4" s="417" t="s">
        <v>108</v>
      </c>
      <c r="G4" s="418"/>
      <c r="H4" s="418"/>
      <c r="I4" s="418"/>
      <c r="J4" s="418"/>
      <c r="K4" s="419"/>
      <c r="L4" s="426">
        <f xml:space="preserve"> IF(Functions!E6&lt;&gt;"N/A",SUM(C4*Functions!E6/1000,- O7),"N/A")</f>
        <v>15</v>
      </c>
      <c r="M4" s="427"/>
      <c r="N4" s="427"/>
      <c r="O4" s="427"/>
      <c r="P4" s="427"/>
      <c r="Q4" s="427"/>
      <c r="R4" s="427"/>
      <c r="S4" s="427"/>
      <c r="T4" s="428"/>
      <c r="V4" s="115"/>
    </row>
    <row r="5" spans="1:23" ht="13.5" customHeight="1">
      <c r="A5" s="401" t="s">
        <v>109</v>
      </c>
      <c r="B5" s="402"/>
      <c r="C5" s="403" t="s">
        <v>103</v>
      </c>
      <c r="D5" s="403"/>
      <c r="E5" s="403"/>
      <c r="F5" s="404"/>
      <c r="G5" s="404"/>
      <c r="H5" s="404"/>
      <c r="I5" s="404"/>
      <c r="J5" s="404"/>
      <c r="K5" s="404"/>
      <c r="L5" s="403"/>
      <c r="M5" s="403"/>
      <c r="N5" s="403"/>
      <c r="O5" s="403"/>
      <c r="P5" s="403"/>
      <c r="Q5" s="403"/>
      <c r="R5" s="403"/>
      <c r="S5" s="403"/>
      <c r="T5" s="403"/>
    </row>
    <row r="6" spans="1:23" ht="13.5" customHeight="1">
      <c r="A6" s="399" t="s">
        <v>34</v>
      </c>
      <c r="B6" s="400"/>
      <c r="C6" s="415" t="s">
        <v>35</v>
      </c>
      <c r="D6" s="405"/>
      <c r="E6" s="416"/>
      <c r="F6" s="415" t="s">
        <v>36</v>
      </c>
      <c r="G6" s="405"/>
      <c r="H6" s="405"/>
      <c r="I6" s="405"/>
      <c r="J6" s="405"/>
      <c r="K6" s="423"/>
      <c r="L6" s="405" t="s">
        <v>110</v>
      </c>
      <c r="M6" s="405"/>
      <c r="N6" s="405"/>
      <c r="O6" s="424" t="s">
        <v>37</v>
      </c>
      <c r="P6" s="405"/>
      <c r="Q6" s="405"/>
      <c r="R6" s="405"/>
      <c r="S6" s="405"/>
      <c r="T6" s="425"/>
      <c r="V6" s="115"/>
    </row>
    <row r="7" spans="1:23" ht="13.5" customHeight="1" thickBot="1">
      <c r="A7" s="414">
        <f>COUNTIF(F40:HQ40,"P")</f>
        <v>12</v>
      </c>
      <c r="B7" s="413"/>
      <c r="C7" s="409">
        <f>COUNTIF(F40:HQ40,"F")</f>
        <v>2</v>
      </c>
      <c r="D7" s="407"/>
      <c r="E7" s="413"/>
      <c r="F7" s="409">
        <f>SUM(O7,- A7,- C7)</f>
        <v>1</v>
      </c>
      <c r="G7" s="407"/>
      <c r="H7" s="407"/>
      <c r="I7" s="407"/>
      <c r="J7" s="407"/>
      <c r="K7" s="410"/>
      <c r="L7" s="250">
        <f>COUNTIF(E39:HQ39,"N")</f>
        <v>12</v>
      </c>
      <c r="M7" s="250">
        <f>COUNTIF(E39:HQ39,"A")</f>
        <v>2</v>
      </c>
      <c r="N7" s="250">
        <f>COUNTIF(E39:HQ39,"B")</f>
        <v>1</v>
      </c>
      <c r="O7" s="406">
        <f>COUNTA(E9:HT9)</f>
        <v>15</v>
      </c>
      <c r="P7" s="407"/>
      <c r="Q7" s="407"/>
      <c r="R7" s="407"/>
      <c r="S7" s="407"/>
      <c r="T7" s="408"/>
      <c r="U7" s="116"/>
    </row>
    <row r="8" spans="1:23" ht="12" thickBot="1"/>
    <row r="9" spans="1:23" ht="46.5" customHeight="1" thickTop="1" thickBot="1">
      <c r="A9" s="258"/>
      <c r="B9" s="259"/>
      <c r="C9" s="260"/>
      <c r="D9" s="261"/>
      <c r="E9" s="260"/>
      <c r="F9" s="262" t="s">
        <v>46</v>
      </c>
      <c r="G9" s="262" t="s">
        <v>47</v>
      </c>
      <c r="H9" s="262" t="s">
        <v>48</v>
      </c>
      <c r="I9" s="262" t="s">
        <v>49</v>
      </c>
      <c r="J9" s="262" t="s">
        <v>50</v>
      </c>
      <c r="K9" s="262" t="s">
        <v>51</v>
      </c>
      <c r="L9" s="262" t="s">
        <v>52</v>
      </c>
      <c r="M9" s="262" t="s">
        <v>53</v>
      </c>
      <c r="N9" s="262" t="s">
        <v>54</v>
      </c>
      <c r="O9" s="262" t="s">
        <v>55</v>
      </c>
      <c r="P9" s="262" t="s">
        <v>56</v>
      </c>
      <c r="Q9" s="262" t="s">
        <v>57</v>
      </c>
      <c r="R9" s="262" t="s">
        <v>58</v>
      </c>
      <c r="S9" s="262" t="s">
        <v>59</v>
      </c>
      <c r="T9" s="263" t="s">
        <v>60</v>
      </c>
      <c r="U9" s="118"/>
      <c r="V9" s="115"/>
    </row>
    <row r="10" spans="1:23" ht="13.5" customHeight="1">
      <c r="A10" s="264" t="s">
        <v>111</v>
      </c>
      <c r="B10" s="119" t="s">
        <v>112</v>
      </c>
      <c r="C10" s="120"/>
      <c r="D10" s="121"/>
      <c r="E10" s="122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265"/>
    </row>
    <row r="11" spans="1:23" ht="13.5" customHeight="1">
      <c r="A11" s="266"/>
      <c r="B11" s="119"/>
      <c r="C11" s="120"/>
      <c r="D11" s="121" t="s">
        <v>61</v>
      </c>
      <c r="E11" s="124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265"/>
      <c r="V11" s="115"/>
    </row>
    <row r="12" spans="1:23" ht="13.5" customHeight="1">
      <c r="A12" s="266"/>
      <c r="B12" s="119"/>
      <c r="C12" s="120"/>
      <c r="D12" s="121"/>
      <c r="E12" s="124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265"/>
    </row>
    <row r="13" spans="1:23" ht="13.5" customHeight="1">
      <c r="A13" s="266"/>
      <c r="B13" s="119"/>
      <c r="C13" s="120"/>
      <c r="D13" s="121"/>
      <c r="E13" s="125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265"/>
    </row>
    <row r="14" spans="1:23" ht="13.5" customHeight="1">
      <c r="A14" s="266"/>
      <c r="B14" s="119" t="s">
        <v>113</v>
      </c>
      <c r="C14" s="120"/>
      <c r="D14" s="121"/>
      <c r="E14" s="126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265"/>
    </row>
    <row r="15" spans="1:23" ht="13.5" customHeight="1">
      <c r="A15" s="266"/>
      <c r="B15" s="119"/>
      <c r="C15" s="120"/>
      <c r="D15" s="121" t="s">
        <v>62</v>
      </c>
      <c r="E15" s="126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265"/>
      <c r="W15" s="115"/>
    </row>
    <row r="16" spans="1:23" ht="13.5" customHeight="1">
      <c r="A16" s="266"/>
      <c r="B16" s="119"/>
      <c r="C16" s="120"/>
      <c r="D16" s="121" t="s">
        <v>63</v>
      </c>
      <c r="E16" s="126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265"/>
    </row>
    <row r="17" spans="1:21" ht="13.5" customHeight="1">
      <c r="A17" s="266"/>
      <c r="B17" s="119"/>
      <c r="C17" s="120"/>
      <c r="D17" s="121" t="s">
        <v>64</v>
      </c>
      <c r="E17" s="126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265"/>
      <c r="U17" s="127"/>
    </row>
    <row r="18" spans="1:21" ht="13.5" customHeight="1">
      <c r="A18" s="266"/>
      <c r="B18" s="119" t="s">
        <v>114</v>
      </c>
      <c r="C18" s="120"/>
      <c r="D18" s="121"/>
      <c r="E18" s="126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265"/>
      <c r="U18" s="127"/>
    </row>
    <row r="19" spans="1:21" ht="13.5" customHeight="1">
      <c r="A19" s="266"/>
      <c r="B19" s="119"/>
      <c r="C19" s="120"/>
      <c r="D19" s="398" t="s">
        <v>65</v>
      </c>
      <c r="E19" s="398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265"/>
    </row>
    <row r="20" spans="1:21" ht="13.5" customHeight="1">
      <c r="A20" s="266"/>
      <c r="B20" s="119"/>
      <c r="C20" s="120"/>
      <c r="D20" s="121">
        <v>5</v>
      </c>
      <c r="E20" s="126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265"/>
    </row>
    <row r="21" spans="1:21" ht="13.5" customHeight="1">
      <c r="A21" s="266"/>
      <c r="B21" s="119"/>
      <c r="C21" s="120"/>
      <c r="D21" s="121">
        <v>10</v>
      </c>
      <c r="E21" s="126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265"/>
    </row>
    <row r="22" spans="1:21" ht="13.5" customHeight="1">
      <c r="A22" s="266"/>
      <c r="B22" s="119"/>
      <c r="C22" s="120"/>
      <c r="D22" s="121"/>
      <c r="E22" s="126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265"/>
    </row>
    <row r="23" spans="1:21" ht="13.5" customHeight="1">
      <c r="A23" s="266"/>
      <c r="B23" s="119"/>
      <c r="C23" s="120"/>
      <c r="D23" s="121"/>
      <c r="E23" s="126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265"/>
    </row>
    <row r="24" spans="1:21" ht="13.5" customHeight="1">
      <c r="A24" s="266"/>
      <c r="B24" s="119"/>
      <c r="C24" s="120"/>
      <c r="D24" s="121"/>
      <c r="E24" s="126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265"/>
    </row>
    <row r="25" spans="1:21" ht="13.5" customHeight="1">
      <c r="A25" s="266"/>
      <c r="B25" s="119"/>
      <c r="C25" s="120"/>
      <c r="D25" s="121"/>
      <c r="E25" s="126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265"/>
    </row>
    <row r="26" spans="1:21" ht="13.5" customHeight="1">
      <c r="A26" s="266"/>
      <c r="B26" s="119"/>
      <c r="C26" s="120"/>
      <c r="D26" s="121"/>
      <c r="E26" s="126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265"/>
    </row>
    <row r="27" spans="1:21" ht="13.5" customHeight="1">
      <c r="A27" s="266"/>
      <c r="B27" s="119"/>
      <c r="C27" s="120"/>
      <c r="D27" s="121"/>
      <c r="E27" s="126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265"/>
    </row>
    <row r="28" spans="1:21" ht="13.5" customHeight="1">
      <c r="A28" s="266"/>
      <c r="B28" s="119"/>
      <c r="C28" s="120"/>
      <c r="D28" s="121"/>
      <c r="E28" s="126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265"/>
    </row>
    <row r="29" spans="1:21" ht="13.5" customHeight="1">
      <c r="A29" s="266"/>
      <c r="B29" s="119"/>
      <c r="C29" s="120"/>
      <c r="D29" s="121"/>
      <c r="E29" s="126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265"/>
    </row>
    <row r="30" spans="1:21" ht="13.5" customHeight="1" thickBot="1">
      <c r="A30" s="266"/>
      <c r="B30" s="128"/>
      <c r="C30" s="129"/>
      <c r="D30" s="130"/>
      <c r="E30" s="131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267"/>
    </row>
    <row r="31" spans="1:21" ht="13.5" customHeight="1" thickTop="1">
      <c r="A31" s="268" t="s">
        <v>115</v>
      </c>
      <c r="B31" s="133" t="s">
        <v>116</v>
      </c>
      <c r="C31" s="134"/>
      <c r="D31" s="135"/>
      <c r="E31" s="136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269"/>
    </row>
    <row r="32" spans="1:21" ht="13.5" customHeight="1">
      <c r="A32" s="270"/>
      <c r="B32" s="138"/>
      <c r="C32" s="139"/>
      <c r="D32" s="140">
        <v>1</v>
      </c>
      <c r="E32" s="141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265"/>
    </row>
    <row r="33" spans="1:20" ht="13.5" customHeight="1">
      <c r="A33" s="270"/>
      <c r="B33" s="138"/>
      <c r="C33" s="142"/>
      <c r="D33" s="140">
        <v>2</v>
      </c>
      <c r="E33" s="14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265"/>
    </row>
    <row r="34" spans="1:20" ht="13.5" customHeight="1">
      <c r="A34" s="270"/>
      <c r="B34" s="138" t="s">
        <v>117</v>
      </c>
      <c r="C34" s="142"/>
      <c r="D34" s="140"/>
      <c r="E34" s="14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265"/>
    </row>
    <row r="35" spans="1:20" ht="13.5" customHeight="1">
      <c r="A35" s="270"/>
      <c r="B35" s="138"/>
      <c r="C35" s="142"/>
      <c r="D35" s="140"/>
      <c r="E35" s="14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265"/>
    </row>
    <row r="36" spans="1:20" ht="13.5" customHeight="1">
      <c r="A36" s="270"/>
      <c r="B36" s="138" t="s">
        <v>118</v>
      </c>
      <c r="C36" s="142"/>
      <c r="D36" s="140"/>
      <c r="E36" s="14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265"/>
    </row>
    <row r="37" spans="1:20" ht="13.5" customHeight="1">
      <c r="A37" s="270"/>
      <c r="B37" s="138"/>
      <c r="C37" s="142"/>
      <c r="D37" s="140" t="s">
        <v>66</v>
      </c>
      <c r="E37" s="14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265"/>
    </row>
    <row r="38" spans="1:20" ht="13.5" customHeight="1" thickBot="1">
      <c r="A38" s="270"/>
      <c r="B38" s="251"/>
      <c r="C38" s="252"/>
      <c r="D38" s="253" t="s">
        <v>67</v>
      </c>
      <c r="E38" s="254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71"/>
    </row>
    <row r="39" spans="1:20" ht="13.5" customHeight="1" thickTop="1">
      <c r="A39" s="268" t="s">
        <v>68</v>
      </c>
      <c r="B39" s="394" t="s">
        <v>69</v>
      </c>
      <c r="C39" s="394"/>
      <c r="D39" s="394"/>
      <c r="E39" s="256"/>
      <c r="F39" s="257" t="s">
        <v>70</v>
      </c>
      <c r="G39" s="257" t="s">
        <v>70</v>
      </c>
      <c r="H39" s="257" t="s">
        <v>70</v>
      </c>
      <c r="I39" s="257" t="s">
        <v>70</v>
      </c>
      <c r="J39" s="257" t="s">
        <v>70</v>
      </c>
      <c r="K39" s="257" t="s">
        <v>71</v>
      </c>
      <c r="L39" s="257" t="s">
        <v>72</v>
      </c>
      <c r="M39" s="257" t="s">
        <v>70</v>
      </c>
      <c r="N39" s="257" t="s">
        <v>70</v>
      </c>
      <c r="O39" s="257" t="s">
        <v>70</v>
      </c>
      <c r="P39" s="257" t="s">
        <v>70</v>
      </c>
      <c r="Q39" s="257" t="s">
        <v>70</v>
      </c>
      <c r="R39" s="257" t="s">
        <v>72</v>
      </c>
      <c r="S39" s="257" t="s">
        <v>70</v>
      </c>
      <c r="T39" s="272" t="s">
        <v>70</v>
      </c>
    </row>
    <row r="40" spans="1:20" ht="13.5" customHeight="1">
      <c r="A40" s="273"/>
      <c r="B40" s="411" t="s">
        <v>73</v>
      </c>
      <c r="C40" s="411"/>
      <c r="D40" s="411"/>
      <c r="E40" s="145"/>
      <c r="F40" s="144" t="s">
        <v>74</v>
      </c>
      <c r="G40" s="144" t="s">
        <v>74</v>
      </c>
      <c r="H40" s="144" t="s">
        <v>74</v>
      </c>
      <c r="I40" s="144" t="s">
        <v>74</v>
      </c>
      <c r="J40" s="144" t="s">
        <v>74</v>
      </c>
      <c r="K40" s="144" t="s">
        <v>75</v>
      </c>
      <c r="L40" s="144" t="s">
        <v>75</v>
      </c>
      <c r="M40" s="144" t="s">
        <v>74</v>
      </c>
      <c r="N40" s="144" t="s">
        <v>74</v>
      </c>
      <c r="O40" s="144" t="s">
        <v>74</v>
      </c>
      <c r="P40" s="144" t="s">
        <v>74</v>
      </c>
      <c r="Q40" s="144" t="s">
        <v>74</v>
      </c>
      <c r="R40" s="144"/>
      <c r="S40" s="144" t="s">
        <v>74</v>
      </c>
      <c r="T40" s="274" t="s">
        <v>74</v>
      </c>
    </row>
    <row r="41" spans="1:20" ht="13.5" customHeight="1">
      <c r="A41" s="273"/>
      <c r="B41" s="412" t="s">
        <v>76</v>
      </c>
      <c r="C41" s="412"/>
      <c r="D41" s="412"/>
      <c r="E41" s="146"/>
      <c r="F41" s="147">
        <v>39139</v>
      </c>
      <c r="G41" s="147">
        <v>39139</v>
      </c>
      <c r="H41" s="147">
        <v>39140</v>
      </c>
      <c r="I41" s="147">
        <v>39141</v>
      </c>
      <c r="J41" s="147">
        <v>39142</v>
      </c>
      <c r="K41" s="147">
        <v>39143</v>
      </c>
      <c r="L41" s="147">
        <v>39144</v>
      </c>
      <c r="M41" s="147">
        <v>39145</v>
      </c>
      <c r="N41" s="147">
        <v>39146</v>
      </c>
      <c r="O41" s="147">
        <v>39147</v>
      </c>
      <c r="P41" s="147">
        <v>39148</v>
      </c>
      <c r="Q41" s="147">
        <v>39149</v>
      </c>
      <c r="R41" s="147">
        <v>39150</v>
      </c>
      <c r="S41" s="147">
        <v>39151</v>
      </c>
      <c r="T41" s="275">
        <v>39152</v>
      </c>
    </row>
    <row r="42" spans="1:20" ht="80" thickBot="1">
      <c r="A42" s="276"/>
      <c r="B42" s="393" t="s">
        <v>77</v>
      </c>
      <c r="C42" s="393"/>
      <c r="D42" s="393"/>
      <c r="E42" s="277"/>
      <c r="F42" s="278"/>
      <c r="G42" s="278"/>
      <c r="H42" s="278"/>
      <c r="I42" s="278"/>
      <c r="J42" s="278"/>
      <c r="K42" s="278" t="s">
        <v>78</v>
      </c>
      <c r="L42" s="278" t="s">
        <v>79</v>
      </c>
      <c r="M42" s="278" t="s">
        <v>80</v>
      </c>
      <c r="N42" s="278" t="s">
        <v>81</v>
      </c>
      <c r="O42" s="278" t="s">
        <v>82</v>
      </c>
      <c r="P42" s="278" t="s">
        <v>83</v>
      </c>
      <c r="Q42" s="278" t="s">
        <v>84</v>
      </c>
      <c r="R42" s="278" t="s">
        <v>85</v>
      </c>
      <c r="S42" s="278" t="s">
        <v>86</v>
      </c>
      <c r="T42" s="279" t="s">
        <v>87</v>
      </c>
    </row>
    <row r="43" spans="1:20" ht="12" thickTop="1">
      <c r="A43" s="117"/>
      <c r="B43" s="113"/>
      <c r="C43" s="114"/>
      <c r="D43" s="113"/>
    </row>
  </sheetData>
  <mergeCells count="28">
    <mergeCell ref="L2:T2"/>
    <mergeCell ref="C2:D2"/>
    <mergeCell ref="F6:K6"/>
    <mergeCell ref="F4:K4"/>
    <mergeCell ref="O6:T6"/>
    <mergeCell ref="L3:N3"/>
    <mergeCell ref="L4:T4"/>
    <mergeCell ref="C4:D4"/>
    <mergeCell ref="A2:B2"/>
    <mergeCell ref="F2:K2"/>
    <mergeCell ref="B40:D40"/>
    <mergeCell ref="B41:D41"/>
    <mergeCell ref="C7:E7"/>
    <mergeCell ref="A7:B7"/>
    <mergeCell ref="C6:E6"/>
    <mergeCell ref="F3:K3"/>
    <mergeCell ref="A3:B3"/>
    <mergeCell ref="A4:B4"/>
    <mergeCell ref="B42:D42"/>
    <mergeCell ref="B39:D39"/>
    <mergeCell ref="C3:E3"/>
    <mergeCell ref="D19:E19"/>
    <mergeCell ref="A6:B6"/>
    <mergeCell ref="A5:B5"/>
    <mergeCell ref="C5:T5"/>
    <mergeCell ref="L6:N6"/>
    <mergeCell ref="O7:T7"/>
    <mergeCell ref="F7:K7"/>
  </mergeCells>
  <phoneticPr fontId="34" type="noConversion"/>
  <dataValidations disablePrompts="1" count="3">
    <dataValidation type="list" allowBlank="1" showInputMessage="1" showErrorMessage="1" sqref="F39:T39" xr:uid="{00000000-0002-0000-0600-000000000000}">
      <formula1>"N,A,B, "</formula1>
    </dataValidation>
    <dataValidation type="list" allowBlank="1" showInputMessage="1" showErrorMessage="1" sqref="F40:T40" xr:uid="{00000000-0002-0000-0600-000001000000}">
      <formula1>"P,F, "</formula1>
    </dataValidation>
    <dataValidation type="list" allowBlank="1" showInputMessage="1" showErrorMessage="1" sqref="F10:T38" xr:uid="{00000000-0002-0000-0600-000002000000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9"/>
  <sheetViews>
    <sheetView topLeftCell="A11" workbookViewId="0">
      <selection activeCell="F9" sqref="F9"/>
    </sheetView>
  </sheetViews>
  <sheetFormatPr baseColWidth="10" defaultColWidth="9" defaultRowHeight="13.5" customHeight="1"/>
  <cols>
    <col min="1" max="1" width="8.1640625" style="78" customWidth="1"/>
    <col min="2" max="2" width="13.33203125" style="82" customWidth="1"/>
    <col min="3" max="3" width="10.83203125" style="78" customWidth="1"/>
    <col min="4" max="4" width="11.33203125" style="79" customWidth="1"/>
    <col min="5" max="5" width="1.83203125" style="78" hidden="1" customWidth="1"/>
    <col min="6" max="11" width="2.83203125" style="78" bestFit="1" customWidth="1"/>
    <col min="12" max="19" width="2.83203125" style="78" customWidth="1"/>
    <col min="20" max="20" width="2.83203125" style="78" bestFit="1" customWidth="1"/>
    <col min="21" max="21" width="2.83203125" style="78" customWidth="1"/>
    <col min="22" max="16384" width="9" style="78"/>
  </cols>
  <sheetData>
    <row r="1" spans="1:22" ht="13.5" customHeight="1" thickBot="1">
      <c r="A1" s="76"/>
      <c r="B1" s="77"/>
    </row>
    <row r="2" spans="1:22" ht="13.5" customHeight="1">
      <c r="A2" s="355" t="s">
        <v>104</v>
      </c>
      <c r="B2" s="356"/>
      <c r="C2" s="357" t="str">
        <f>Functions!E11</f>
        <v>Function1</v>
      </c>
      <c r="D2" s="358"/>
      <c r="E2" s="359"/>
      <c r="F2" s="360" t="s">
        <v>23</v>
      </c>
      <c r="G2" s="361"/>
      <c r="H2" s="361"/>
      <c r="I2" s="361"/>
      <c r="J2" s="361"/>
      <c r="K2" s="361"/>
      <c r="L2" s="340" t="str">
        <f>Functions!D11</f>
        <v>Function A</v>
      </c>
      <c r="M2" s="341"/>
      <c r="N2" s="341"/>
      <c r="O2" s="341"/>
      <c r="P2" s="341"/>
      <c r="Q2" s="341"/>
      <c r="R2" s="341"/>
      <c r="S2" s="341"/>
      <c r="T2" s="342"/>
      <c r="V2" s="80"/>
    </row>
    <row r="3" spans="1:22" ht="13.5" customHeight="1">
      <c r="A3" s="367" t="s">
        <v>105</v>
      </c>
      <c r="B3" s="368"/>
      <c r="C3" s="369" t="s">
        <v>45</v>
      </c>
      <c r="D3" s="343"/>
      <c r="E3" s="370"/>
      <c r="F3" s="346" t="s">
        <v>106</v>
      </c>
      <c r="G3" s="347"/>
      <c r="H3" s="347"/>
      <c r="I3" s="347"/>
      <c r="J3" s="347"/>
      <c r="K3" s="348"/>
      <c r="L3" s="343"/>
      <c r="M3" s="343"/>
      <c r="N3" s="343"/>
      <c r="O3" s="181"/>
      <c r="P3" s="181"/>
      <c r="Q3" s="181"/>
      <c r="R3" s="181"/>
      <c r="S3" s="181"/>
      <c r="T3" s="182"/>
    </row>
    <row r="4" spans="1:22" ht="13.5" customHeight="1">
      <c r="A4" s="367" t="s">
        <v>107</v>
      </c>
      <c r="B4" s="368"/>
      <c r="C4" s="377">
        <v>100</v>
      </c>
      <c r="D4" s="378"/>
      <c r="E4" s="193"/>
      <c r="F4" s="346" t="s">
        <v>108</v>
      </c>
      <c r="G4" s="347"/>
      <c r="H4" s="347"/>
      <c r="I4" s="347"/>
      <c r="J4" s="347"/>
      <c r="K4" s="348"/>
      <c r="L4" s="349">
        <f xml:space="preserve"> IF(Functions!E6&lt;&gt;"N/A",SUM(C4*Functions!E6/1000,- O7),"N/A")</f>
        <v>-5</v>
      </c>
      <c r="M4" s="350"/>
      <c r="N4" s="350"/>
      <c r="O4" s="350"/>
      <c r="P4" s="350"/>
      <c r="Q4" s="350"/>
      <c r="R4" s="350"/>
      <c r="S4" s="350"/>
      <c r="T4" s="351"/>
      <c r="V4" s="80"/>
    </row>
    <row r="5" spans="1:22" ht="13.5" customHeight="1">
      <c r="A5" s="367" t="s">
        <v>109</v>
      </c>
      <c r="B5" s="368"/>
      <c r="C5" s="380" t="s">
        <v>103</v>
      </c>
      <c r="D5" s="380"/>
      <c r="E5" s="380"/>
      <c r="F5" s="381"/>
      <c r="G5" s="381"/>
      <c r="H5" s="381"/>
      <c r="I5" s="381"/>
      <c r="J5" s="381"/>
      <c r="K5" s="381"/>
      <c r="L5" s="380"/>
      <c r="M5" s="380"/>
      <c r="N5" s="380"/>
      <c r="O5" s="380"/>
      <c r="P5" s="380"/>
      <c r="Q5" s="380"/>
      <c r="R5" s="380"/>
      <c r="S5" s="380"/>
      <c r="T5" s="380"/>
    </row>
    <row r="6" spans="1:22" ht="13.5" customHeight="1">
      <c r="A6" s="371" t="s">
        <v>34</v>
      </c>
      <c r="B6" s="372"/>
      <c r="C6" s="344" t="s">
        <v>35</v>
      </c>
      <c r="D6" s="337"/>
      <c r="E6" s="345"/>
      <c r="F6" s="344" t="s">
        <v>36</v>
      </c>
      <c r="G6" s="337"/>
      <c r="H6" s="337"/>
      <c r="I6" s="337"/>
      <c r="J6" s="337"/>
      <c r="K6" s="352"/>
      <c r="L6" s="337" t="s">
        <v>110</v>
      </c>
      <c r="M6" s="337"/>
      <c r="N6" s="337"/>
      <c r="O6" s="338" t="s">
        <v>37</v>
      </c>
      <c r="P6" s="337"/>
      <c r="Q6" s="337"/>
      <c r="R6" s="337"/>
      <c r="S6" s="337"/>
      <c r="T6" s="339"/>
      <c r="V6" s="80"/>
    </row>
    <row r="7" spans="1:22" ht="13.5" customHeight="1" thickBot="1">
      <c r="A7" s="366">
        <f>COUNTIF(F47:HQ47,"P")</f>
        <v>0</v>
      </c>
      <c r="B7" s="365"/>
      <c r="C7" s="362">
        <f>COUNTIF(F47:HQ47,"F")</f>
        <v>0</v>
      </c>
      <c r="D7" s="363"/>
      <c r="E7" s="365"/>
      <c r="F7" s="362">
        <f>SUM(O7,- A7,- C7)</f>
        <v>15</v>
      </c>
      <c r="G7" s="363"/>
      <c r="H7" s="363"/>
      <c r="I7" s="363"/>
      <c r="J7" s="363"/>
      <c r="K7" s="364"/>
      <c r="L7" s="183">
        <f>COUNTIF(E46:HQ46,"N")</f>
        <v>0</v>
      </c>
      <c r="M7" s="183">
        <f>COUNTIF(E46:HQ46,"A")</f>
        <v>0</v>
      </c>
      <c r="N7" s="183">
        <f>COUNTIF(E46:HQ46,"B")</f>
        <v>0</v>
      </c>
      <c r="O7" s="385">
        <f>COUNTA(E9:HT9)</f>
        <v>15</v>
      </c>
      <c r="P7" s="363"/>
      <c r="Q7" s="363"/>
      <c r="R7" s="363"/>
      <c r="S7" s="363"/>
      <c r="T7" s="386"/>
      <c r="U7" s="81"/>
    </row>
    <row r="8" spans="1:22" ht="12" thickBot="1"/>
    <row r="9" spans="1:22" ht="45" customHeight="1" thickTop="1" thickBot="1">
      <c r="A9" s="228"/>
      <c r="B9" s="202"/>
      <c r="C9" s="203"/>
      <c r="D9" s="204"/>
      <c r="E9" s="203"/>
      <c r="F9" s="205" t="s">
        <v>46</v>
      </c>
      <c r="G9" s="205" t="s">
        <v>47</v>
      </c>
      <c r="H9" s="205" t="s">
        <v>47</v>
      </c>
      <c r="I9" s="205" t="s">
        <v>47</v>
      </c>
      <c r="J9" s="205" t="s">
        <v>47</v>
      </c>
      <c r="K9" s="205" t="s">
        <v>47</v>
      </c>
      <c r="L9" s="205" t="s">
        <v>52</v>
      </c>
      <c r="M9" s="205" t="s">
        <v>53</v>
      </c>
      <c r="N9" s="205" t="s">
        <v>54</v>
      </c>
      <c r="O9" s="205" t="s">
        <v>55</v>
      </c>
      <c r="P9" s="205" t="s">
        <v>56</v>
      </c>
      <c r="Q9" s="205" t="s">
        <v>57</v>
      </c>
      <c r="R9" s="205" t="s">
        <v>58</v>
      </c>
      <c r="S9" s="205" t="s">
        <v>59</v>
      </c>
      <c r="T9" s="206" t="s">
        <v>60</v>
      </c>
      <c r="U9" s="83"/>
      <c r="V9" s="80"/>
    </row>
    <row r="10" spans="1:22" ht="13.5" customHeight="1">
      <c r="A10" s="222" t="s">
        <v>111</v>
      </c>
      <c r="B10" s="84" t="s">
        <v>88</v>
      </c>
      <c r="C10" s="85"/>
      <c r="D10" s="86"/>
      <c r="E10" s="87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234"/>
    </row>
    <row r="11" spans="1:22" ht="13.5" customHeight="1">
      <c r="A11" s="208"/>
      <c r="B11" s="84"/>
      <c r="C11" s="85"/>
      <c r="D11" s="86"/>
      <c r="E11" s="89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234"/>
      <c r="V11" s="80"/>
    </row>
    <row r="12" spans="1:22" ht="13.5" customHeight="1">
      <c r="A12" s="208"/>
      <c r="B12" s="84"/>
      <c r="C12" s="85"/>
      <c r="D12" s="86"/>
      <c r="E12" s="89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234"/>
    </row>
    <row r="13" spans="1:22" ht="13.5" customHeight="1">
      <c r="A13" s="208"/>
      <c r="B13" s="84"/>
      <c r="C13" s="85"/>
      <c r="D13" s="86"/>
      <c r="E13" s="90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234"/>
    </row>
    <row r="14" spans="1:22" ht="13.5" customHeight="1">
      <c r="A14" s="208"/>
      <c r="B14" s="84" t="s">
        <v>140</v>
      </c>
      <c r="C14" s="85"/>
      <c r="D14" s="86"/>
      <c r="E14" s="91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234"/>
    </row>
    <row r="15" spans="1:22" ht="13.5" customHeight="1">
      <c r="A15" s="208"/>
      <c r="B15" s="84"/>
      <c r="C15" s="85"/>
      <c r="D15" s="86">
        <v>-2</v>
      </c>
      <c r="E15" s="91"/>
      <c r="F15" s="88" t="s">
        <v>146</v>
      </c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234"/>
    </row>
    <row r="16" spans="1:22" ht="13.5" customHeight="1">
      <c r="A16" s="208"/>
      <c r="B16" s="84"/>
      <c r="C16" s="85"/>
      <c r="D16" s="86">
        <v>-1</v>
      </c>
      <c r="E16" s="91"/>
      <c r="F16" s="88"/>
      <c r="G16" s="88"/>
      <c r="H16" s="88"/>
      <c r="I16" s="88"/>
      <c r="J16" s="88"/>
      <c r="K16" s="88"/>
      <c r="L16" s="88" t="s">
        <v>146</v>
      </c>
      <c r="M16" s="88"/>
      <c r="N16" s="88"/>
      <c r="O16" s="88"/>
      <c r="P16" s="88"/>
      <c r="Q16" s="88"/>
      <c r="R16" s="88"/>
      <c r="S16" s="88"/>
      <c r="T16" s="234"/>
    </row>
    <row r="17" spans="1:21" ht="13.5" customHeight="1">
      <c r="A17" s="208"/>
      <c r="B17" s="84"/>
      <c r="C17" s="85"/>
      <c r="D17" s="86">
        <v>0</v>
      </c>
      <c r="E17" s="91"/>
      <c r="F17" s="88"/>
      <c r="G17" s="88" t="s">
        <v>146</v>
      </c>
      <c r="H17" s="88" t="s">
        <v>146</v>
      </c>
      <c r="I17" s="88" t="s">
        <v>146</v>
      </c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234"/>
      <c r="U17" s="92"/>
    </row>
    <row r="18" spans="1:21" ht="13.5" customHeight="1">
      <c r="A18" s="208"/>
      <c r="B18" s="84"/>
      <c r="C18" s="85"/>
      <c r="D18" s="86">
        <v>1</v>
      </c>
      <c r="E18" s="91"/>
      <c r="F18" s="88"/>
      <c r="G18" s="88"/>
      <c r="H18" s="88"/>
      <c r="I18" s="88"/>
      <c r="J18" s="88" t="s">
        <v>146</v>
      </c>
      <c r="K18" s="88" t="s">
        <v>146</v>
      </c>
      <c r="L18" s="88"/>
      <c r="M18" s="88"/>
      <c r="N18" s="88"/>
      <c r="O18" s="88"/>
      <c r="P18" s="88"/>
      <c r="Q18" s="88"/>
      <c r="R18" s="88"/>
      <c r="S18" s="88"/>
      <c r="T18" s="234"/>
      <c r="U18" s="92"/>
    </row>
    <row r="19" spans="1:21" ht="13.5" customHeight="1">
      <c r="A19" s="208"/>
      <c r="B19" s="84" t="s">
        <v>141</v>
      </c>
      <c r="C19" s="85"/>
      <c r="D19" s="86"/>
      <c r="E19" s="91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234"/>
      <c r="U19" s="92"/>
    </row>
    <row r="20" spans="1:21" ht="13.5" customHeight="1">
      <c r="A20" s="208"/>
      <c r="B20" s="84"/>
      <c r="C20" s="85"/>
      <c r="D20" s="353">
        <v>0</v>
      </c>
      <c r="E20" s="353"/>
      <c r="F20" s="88"/>
      <c r="G20" s="88" t="s">
        <v>146</v>
      </c>
      <c r="H20" s="88" t="s">
        <v>146</v>
      </c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234"/>
    </row>
    <row r="21" spans="1:21" ht="13.5" customHeight="1">
      <c r="A21" s="208"/>
      <c r="B21" s="84"/>
      <c r="C21" s="85"/>
      <c r="D21" s="86">
        <v>-2</v>
      </c>
      <c r="E21" s="91"/>
      <c r="F21" s="88"/>
      <c r="G21" s="88"/>
      <c r="H21" s="88"/>
      <c r="I21" s="88"/>
      <c r="J21" s="88" t="s">
        <v>146</v>
      </c>
      <c r="K21" s="88" t="s">
        <v>146</v>
      </c>
      <c r="L21" s="88" t="s">
        <v>146</v>
      </c>
      <c r="M21" s="88"/>
      <c r="N21" s="88"/>
      <c r="O21" s="88"/>
      <c r="P21" s="88"/>
      <c r="Q21" s="88"/>
      <c r="R21" s="88"/>
      <c r="S21" s="88"/>
      <c r="T21" s="234"/>
    </row>
    <row r="22" spans="1:21" ht="13.5" customHeight="1">
      <c r="A22" s="208"/>
      <c r="B22" s="84"/>
      <c r="C22" s="85"/>
      <c r="D22" s="86">
        <v>2</v>
      </c>
      <c r="E22" s="91"/>
      <c r="F22" s="88"/>
      <c r="G22" s="88"/>
      <c r="H22" s="88"/>
      <c r="I22" s="88" t="s">
        <v>146</v>
      </c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234"/>
    </row>
    <row r="23" spans="1:21" ht="13.5" customHeight="1">
      <c r="A23" s="208"/>
      <c r="B23" s="84" t="s">
        <v>142</v>
      </c>
      <c r="C23" s="85"/>
      <c r="D23" s="86"/>
      <c r="E23" s="91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234"/>
    </row>
    <row r="24" spans="1:21" ht="13.5" customHeight="1">
      <c r="A24" s="208"/>
      <c r="B24" s="84"/>
      <c r="C24" s="85"/>
      <c r="D24" s="86">
        <v>0</v>
      </c>
      <c r="E24" s="91"/>
      <c r="F24" s="88"/>
      <c r="G24" s="88" t="s">
        <v>146</v>
      </c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234"/>
    </row>
    <row r="25" spans="1:21" ht="13.5" customHeight="1">
      <c r="A25" s="208"/>
      <c r="B25" s="84"/>
      <c r="C25" s="85"/>
      <c r="D25" s="86">
        <v>1</v>
      </c>
      <c r="E25" s="91"/>
      <c r="F25" s="88"/>
      <c r="G25" s="88"/>
      <c r="H25" s="88" t="s">
        <v>146</v>
      </c>
      <c r="I25" s="88" t="s">
        <v>146</v>
      </c>
      <c r="J25" s="88" t="s">
        <v>146</v>
      </c>
      <c r="K25" s="88"/>
      <c r="L25" s="88"/>
      <c r="M25" s="88"/>
      <c r="N25" s="88"/>
      <c r="O25" s="88"/>
      <c r="P25" s="88"/>
      <c r="Q25" s="88"/>
      <c r="R25" s="88"/>
      <c r="S25" s="88"/>
      <c r="T25" s="234"/>
    </row>
    <row r="26" spans="1:21" ht="13.5" customHeight="1">
      <c r="A26" s="208"/>
      <c r="B26" s="84"/>
      <c r="C26" s="85"/>
      <c r="D26" s="86">
        <v>3</v>
      </c>
      <c r="E26" s="91"/>
      <c r="F26" s="88"/>
      <c r="G26" s="88"/>
      <c r="H26" s="88"/>
      <c r="I26" s="88"/>
      <c r="J26" s="88"/>
      <c r="K26" s="88"/>
      <c r="L26" s="88" t="s">
        <v>146</v>
      </c>
      <c r="M26" s="88"/>
      <c r="N26" s="88"/>
      <c r="O26" s="88"/>
      <c r="P26" s="88"/>
      <c r="Q26" s="88"/>
      <c r="R26" s="88"/>
      <c r="S26" s="88"/>
      <c r="T26" s="234"/>
    </row>
    <row r="27" spans="1:21" ht="13.5" customHeight="1">
      <c r="A27" s="208"/>
      <c r="B27" s="84"/>
      <c r="C27" s="85"/>
      <c r="D27" s="86">
        <v>5</v>
      </c>
      <c r="E27" s="91"/>
      <c r="F27" s="88"/>
      <c r="G27" s="88"/>
      <c r="H27" s="88"/>
      <c r="I27" s="88"/>
      <c r="J27" s="88"/>
      <c r="K27" s="88" t="s">
        <v>146</v>
      </c>
      <c r="L27" s="88"/>
      <c r="M27" s="88"/>
      <c r="N27" s="88"/>
      <c r="O27" s="88"/>
      <c r="P27" s="88"/>
      <c r="Q27" s="88"/>
      <c r="R27" s="88"/>
      <c r="S27" s="88"/>
      <c r="T27" s="234"/>
    </row>
    <row r="28" spans="1:21" ht="13.5" customHeight="1">
      <c r="A28" s="208"/>
      <c r="B28" s="84"/>
      <c r="C28" s="85"/>
      <c r="D28" s="86"/>
      <c r="E28" s="91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234"/>
    </row>
    <row r="29" spans="1:21" ht="13.5" customHeight="1">
      <c r="A29" s="208"/>
      <c r="B29" s="84"/>
      <c r="C29" s="85"/>
      <c r="D29" s="86"/>
      <c r="E29" s="91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234"/>
    </row>
    <row r="30" spans="1:21" ht="13.5" customHeight="1">
      <c r="A30" s="208"/>
      <c r="B30" s="84"/>
      <c r="C30" s="85"/>
      <c r="D30" s="86"/>
      <c r="E30" s="91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234"/>
    </row>
    <row r="31" spans="1:21" ht="13.5" customHeight="1">
      <c r="A31" s="208"/>
      <c r="B31" s="84"/>
      <c r="C31" s="85"/>
      <c r="D31" s="86"/>
      <c r="E31" s="91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234"/>
    </row>
    <row r="32" spans="1:21" ht="13.5" customHeight="1" thickBot="1">
      <c r="A32" s="208"/>
      <c r="B32" s="93"/>
      <c r="C32" s="94"/>
      <c r="D32" s="95"/>
      <c r="E32" s="96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235"/>
    </row>
    <row r="33" spans="1:20" ht="13.5" customHeight="1" thickTop="1">
      <c r="A33" s="221" t="s">
        <v>115</v>
      </c>
      <c r="B33" s="98" t="s">
        <v>89</v>
      </c>
      <c r="C33" s="99"/>
      <c r="D33" s="100"/>
      <c r="E33" s="101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236"/>
    </row>
    <row r="34" spans="1:20" ht="13.5" customHeight="1">
      <c r="A34" s="220"/>
      <c r="B34" s="148" t="s">
        <v>143</v>
      </c>
      <c r="C34" s="104"/>
      <c r="D34" s="105"/>
      <c r="E34" s="106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234"/>
    </row>
    <row r="35" spans="1:20" ht="13.5" customHeight="1">
      <c r="A35" s="220"/>
      <c r="B35" s="148"/>
      <c r="C35" s="104"/>
      <c r="D35" s="105" t="s">
        <v>144</v>
      </c>
      <c r="E35" s="106"/>
      <c r="F35" s="88" t="s">
        <v>146</v>
      </c>
      <c r="G35" s="88"/>
      <c r="H35" s="88" t="s">
        <v>146</v>
      </c>
      <c r="I35" s="88"/>
      <c r="J35" s="88"/>
      <c r="K35" s="88" t="s">
        <v>146</v>
      </c>
      <c r="L35" s="88"/>
      <c r="M35" s="88"/>
      <c r="N35" s="88"/>
      <c r="O35" s="88"/>
      <c r="P35" s="88"/>
      <c r="Q35" s="88"/>
      <c r="R35" s="88"/>
      <c r="S35" s="88"/>
      <c r="T35" s="234"/>
    </row>
    <row r="36" spans="1:20" ht="13.5" customHeight="1">
      <c r="A36" s="220"/>
      <c r="B36" s="148"/>
      <c r="C36" s="104"/>
      <c r="D36" s="105" t="s">
        <v>145</v>
      </c>
      <c r="E36" s="106"/>
      <c r="F36" s="88"/>
      <c r="G36" s="88" t="s">
        <v>146</v>
      </c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234"/>
    </row>
    <row r="37" spans="1:20" ht="13.5" customHeight="1">
      <c r="A37" s="220"/>
      <c r="B37" s="148"/>
      <c r="C37" s="104"/>
      <c r="D37" s="105" t="s">
        <v>148</v>
      </c>
      <c r="E37" s="106"/>
      <c r="F37" s="88"/>
      <c r="G37" s="88"/>
      <c r="H37" s="88"/>
      <c r="I37" s="88" t="s">
        <v>146</v>
      </c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234"/>
    </row>
    <row r="38" spans="1:20" ht="13.5" customHeight="1">
      <c r="A38" s="220"/>
      <c r="B38" s="148"/>
      <c r="C38" s="104"/>
      <c r="D38" s="105" t="s">
        <v>149</v>
      </c>
      <c r="E38" s="106"/>
      <c r="F38" s="88"/>
      <c r="G38" s="88"/>
      <c r="H38" s="88"/>
      <c r="I38" s="88"/>
      <c r="J38" s="88" t="s">
        <v>146</v>
      </c>
      <c r="K38" s="88"/>
      <c r="L38" s="88"/>
      <c r="M38" s="88"/>
      <c r="N38" s="88"/>
      <c r="O38" s="88"/>
      <c r="P38" s="88"/>
      <c r="Q38" s="88"/>
      <c r="R38" s="88"/>
      <c r="S38" s="88"/>
      <c r="T38" s="234"/>
    </row>
    <row r="39" spans="1:20" ht="13.5" customHeight="1">
      <c r="A39" s="220"/>
      <c r="B39" s="103"/>
      <c r="C39" s="107"/>
      <c r="D39" s="105" t="s">
        <v>150</v>
      </c>
      <c r="E39" s="108"/>
      <c r="F39" s="88"/>
      <c r="G39" s="88"/>
      <c r="H39" s="88"/>
      <c r="I39" s="88"/>
      <c r="J39" s="88"/>
      <c r="K39" s="88"/>
      <c r="L39" s="88" t="s">
        <v>146</v>
      </c>
      <c r="M39" s="88"/>
      <c r="N39" s="88"/>
      <c r="O39" s="88"/>
      <c r="P39" s="88"/>
      <c r="Q39" s="88"/>
      <c r="R39" s="88"/>
      <c r="S39" s="88"/>
      <c r="T39" s="234"/>
    </row>
    <row r="40" spans="1:20" ht="13.5" customHeight="1">
      <c r="A40" s="220"/>
      <c r="B40" s="103" t="s">
        <v>90</v>
      </c>
      <c r="C40" s="107"/>
      <c r="D40" s="105"/>
      <c r="E40" s="10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234"/>
    </row>
    <row r="41" spans="1:20" ht="13.5" customHeight="1">
      <c r="A41" s="220"/>
      <c r="B41" s="103"/>
      <c r="C41" s="107"/>
      <c r="D41" s="105"/>
      <c r="E41" s="10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234"/>
    </row>
    <row r="42" spans="1:20" ht="13.5" customHeight="1">
      <c r="A42" s="220"/>
      <c r="B42" s="103" t="s">
        <v>91</v>
      </c>
      <c r="C42" s="107"/>
      <c r="D42" s="105"/>
      <c r="E42" s="10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234"/>
    </row>
    <row r="43" spans="1:20" ht="13.5" customHeight="1">
      <c r="A43" s="220"/>
      <c r="B43" s="103"/>
      <c r="C43" s="107"/>
      <c r="D43" s="105" t="s">
        <v>147</v>
      </c>
      <c r="E43" s="108"/>
      <c r="F43" s="88" t="s">
        <v>146</v>
      </c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234"/>
    </row>
    <row r="44" spans="1:20" ht="13.5" customHeight="1" thickBot="1">
      <c r="A44" s="220"/>
      <c r="B44" s="194"/>
      <c r="C44" s="195"/>
      <c r="D44" s="196"/>
      <c r="E44" s="197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37"/>
    </row>
    <row r="45" spans="1:20" ht="13.5" customHeight="1" thickTop="1">
      <c r="A45" s="221" t="s">
        <v>68</v>
      </c>
      <c r="B45" s="374" t="s">
        <v>69</v>
      </c>
      <c r="C45" s="374"/>
      <c r="D45" s="374"/>
      <c r="E45" s="199"/>
      <c r="F45" s="227" t="s">
        <v>72</v>
      </c>
      <c r="G45" s="227" t="s">
        <v>70</v>
      </c>
      <c r="H45" s="227" t="s">
        <v>70</v>
      </c>
      <c r="I45" s="227" t="s">
        <v>70</v>
      </c>
      <c r="J45" s="227" t="s">
        <v>70</v>
      </c>
      <c r="K45" s="227" t="s">
        <v>70</v>
      </c>
      <c r="L45" s="227" t="s">
        <v>71</v>
      </c>
      <c r="M45" s="227"/>
      <c r="N45" s="227"/>
      <c r="O45" s="227"/>
      <c r="P45" s="227"/>
      <c r="Q45" s="227"/>
      <c r="R45" s="227"/>
      <c r="S45" s="227"/>
      <c r="T45" s="238"/>
    </row>
    <row r="46" spans="1:20" ht="13.5" customHeight="1">
      <c r="A46" s="213"/>
      <c r="B46" s="379" t="s">
        <v>73</v>
      </c>
      <c r="C46" s="379"/>
      <c r="D46" s="379"/>
      <c r="E46" s="110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239"/>
    </row>
    <row r="47" spans="1:20" ht="13.5" customHeight="1">
      <c r="A47" s="213"/>
      <c r="B47" s="382" t="s">
        <v>76</v>
      </c>
      <c r="C47" s="382"/>
      <c r="D47" s="382"/>
      <c r="E47" s="111"/>
      <c r="F47" s="112">
        <v>39139</v>
      </c>
      <c r="G47" s="112">
        <v>39139</v>
      </c>
      <c r="H47" s="112">
        <v>39139</v>
      </c>
      <c r="I47" s="112">
        <v>39139</v>
      </c>
      <c r="J47" s="112">
        <v>39139</v>
      </c>
      <c r="K47" s="112">
        <v>39139</v>
      </c>
      <c r="L47" s="112">
        <v>39144</v>
      </c>
      <c r="M47" s="112"/>
      <c r="N47" s="112"/>
      <c r="O47" s="112"/>
      <c r="P47" s="112"/>
      <c r="Q47" s="112"/>
      <c r="R47" s="112"/>
      <c r="S47" s="112"/>
      <c r="T47" s="215"/>
    </row>
    <row r="48" spans="1:20" ht="12" thickBot="1">
      <c r="A48" s="216"/>
      <c r="B48" s="373" t="s">
        <v>77</v>
      </c>
      <c r="C48" s="373"/>
      <c r="D48" s="373"/>
      <c r="E48" s="217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9"/>
    </row>
    <row r="49" spans="1:4" ht="12" thickTop="1">
      <c r="A49" s="82"/>
      <c r="B49" s="78"/>
      <c r="C49" s="79"/>
      <c r="D49" s="78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F6:K6"/>
    <mergeCell ref="L6:N6"/>
    <mergeCell ref="O6:T6"/>
    <mergeCell ref="A7:B7"/>
    <mergeCell ref="C7:E7"/>
    <mergeCell ref="F7:K7"/>
    <mergeCell ref="O7:T7"/>
    <mergeCell ref="A6:B6"/>
    <mergeCell ref="C6:E6"/>
    <mergeCell ref="B48:D48"/>
    <mergeCell ref="D20:E20"/>
    <mergeCell ref="B45:D45"/>
    <mergeCell ref="B46:D46"/>
    <mergeCell ref="B47:D47"/>
  </mergeCells>
  <phoneticPr fontId="44"/>
  <dataValidations count="3">
    <dataValidation type="list" allowBlank="1" showInputMessage="1" showErrorMessage="1" sqref="F46:T46" xr:uid="{00000000-0002-0000-0700-000000000000}">
      <formula1>"P,F, "</formula1>
    </dataValidation>
    <dataValidation type="list" allowBlank="1" showInputMessage="1" showErrorMessage="1" sqref="F45:T45" xr:uid="{00000000-0002-0000-0700-000001000000}">
      <formula1>"N,A,B, "</formula1>
    </dataValidation>
    <dataValidation type="list" allowBlank="1" showInputMessage="1" showErrorMessage="1" sqref="F10:T44" xr:uid="{00000000-0002-0000-0700-000002000000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Guideline</vt:lpstr>
      <vt:lpstr>Cover</vt:lpstr>
      <vt:lpstr>Functions</vt:lpstr>
      <vt:lpstr>Statistics</vt:lpstr>
      <vt:lpstr>Function 1</vt:lpstr>
      <vt:lpstr>Function 2</vt:lpstr>
      <vt:lpstr>Function3</vt:lpstr>
      <vt:lpstr>Example</vt:lpstr>
      <vt:lpstr>'Function 1'!Print_Area</vt:lpstr>
      <vt:lpstr>'Function 2'!Print_Area</vt:lpstr>
      <vt:lpstr>Function3!Print_Area</vt:lpstr>
      <vt:lpstr>Functions!Print_Area</vt:lpstr>
      <vt:lpstr>Guideline!Print_Area</vt:lpstr>
      <vt:lpstr>Statistics!Print_Area</vt:lpstr>
    </vt:vector>
  </TitlesOfParts>
  <Company>FPT-Software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thanh tran</cp:lastModifiedBy>
  <cp:lastPrinted>2008-03-12T04:05:49Z</cp:lastPrinted>
  <dcterms:created xsi:type="dcterms:W3CDTF">2007-10-09T09:39:48Z</dcterms:created>
  <dcterms:modified xsi:type="dcterms:W3CDTF">2025-10-10T06:54:46Z</dcterms:modified>
</cp:coreProperties>
</file>